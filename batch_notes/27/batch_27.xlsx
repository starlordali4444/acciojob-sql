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ink/ink1.xml" ContentType="application/inkml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5.xml" ContentType="application/vnd.openxmlformats-officedocument.drawing+xml"/>
  <Override PartName="/xl/ink/ink18.xml" ContentType="application/inkml+xml"/>
  <Override PartName="/xl/ink/ink19.xml" ContentType="application/inkml+xml"/>
  <Override PartName="/xl/drawings/drawing6.xml" ContentType="application/vnd.openxmlformats-officedocument.drawing+xml"/>
  <Override PartName="/xl/ink/ink20.xml" ContentType="application/inkml+xml"/>
  <Override PartName="/xl/ink/ink21.xml" ContentType="application/inkml+xml"/>
  <Override PartName="/xl/ink/ink22.xml" ContentType="application/inkml+xml"/>
  <Override PartName="/xl/drawings/drawing7.xml" ContentType="application/vnd.openxmlformats-officedocument.drawing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drawings/drawing8.xml" ContentType="application/vnd.openxmlformats-officedocument.drawing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hira_2/__work__/acciojob/modules/sql/postgresql/batch_notes/27/"/>
    </mc:Choice>
  </mc:AlternateContent>
  <xr:revisionPtr revIDLastSave="0" documentId="13_ncr:1_{0F41B00F-7B4E-2748-B3A3-446F4AD8F196}" xr6:coauthVersionLast="47" xr6:coauthVersionMax="47" xr10:uidLastSave="{00000000-0000-0000-0000-000000000000}"/>
  <bookViews>
    <workbookView xWindow="-38400" yWindow="-2480" windowWidth="38400" windowHeight="21600" activeTab="15" xr2:uid="{43D057EC-24A4-D14F-BD50-FDFE67984E9E}"/>
  </bookViews>
  <sheets>
    <sheet name="01" sheetId="1" r:id="rId1"/>
    <sheet name="03" sheetId="2" r:id="rId2"/>
    <sheet name="04" sheetId="3" r:id="rId3"/>
    <sheet name="05" sheetId="4" r:id="rId4"/>
    <sheet name="06" sheetId="5" r:id="rId5"/>
    <sheet name="07" sheetId="6" r:id="rId6"/>
    <sheet name="08" sheetId="7" r:id="rId7"/>
    <sheet name="09-10" sheetId="8" r:id="rId8"/>
    <sheet name="11" sheetId="9" r:id="rId9"/>
    <sheet name="12" sheetId="10" r:id="rId10"/>
    <sheet name="13" sheetId="11" r:id="rId11"/>
    <sheet name="14-15" sheetId="12" r:id="rId12"/>
    <sheet name="16" sheetId="13" r:id="rId13"/>
    <sheet name="17" sheetId="14" r:id="rId14"/>
    <sheet name="18" sheetId="15" r:id="rId15"/>
    <sheet name="19" sheetId="16" r:id="rId16"/>
  </sheets>
  <calcPr calcId="191029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5" i="15" l="1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4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3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4" i="15"/>
  <c r="I194" i="14"/>
  <c r="I193" i="14"/>
  <c r="I187" i="14"/>
  <c r="I18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186" i="14"/>
  <c r="J8" i="14"/>
  <c r="J7" i="14"/>
  <c r="J6" i="14"/>
  <c r="J5" i="14"/>
  <c r="J4" i="14"/>
  <c r="J3" i="14"/>
  <c r="N58" i="14"/>
  <c r="N59" i="14"/>
  <c r="N60" i="14"/>
  <c r="N61" i="14"/>
  <c r="N62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37" i="14"/>
  <c r="N16" i="14"/>
  <c r="N17" i="14"/>
  <c r="N18" i="14"/>
  <c r="N19" i="14"/>
  <c r="N20" i="14"/>
  <c r="N21" i="14"/>
  <c r="N22" i="14"/>
  <c r="N23" i="14"/>
  <c r="N24" i="14"/>
  <c r="N25" i="14"/>
  <c r="N26" i="14"/>
  <c r="N15" i="14"/>
  <c r="N6" i="14"/>
  <c r="N7" i="14"/>
  <c r="N8" i="14"/>
  <c r="N9" i="14"/>
  <c r="N10" i="14"/>
  <c r="N11" i="14"/>
  <c r="N12" i="14"/>
  <c r="N13" i="14"/>
  <c r="N14" i="14"/>
  <c r="N5" i="14"/>
  <c r="N4" i="14"/>
  <c r="N3" i="14"/>
  <c r="M16" i="14"/>
  <c r="M17" i="14"/>
  <c r="M18" i="14"/>
  <c r="M19" i="14"/>
  <c r="M20" i="14"/>
  <c r="M21" i="14"/>
  <c r="M22" i="14"/>
  <c r="M23" i="14"/>
  <c r="M24" i="14"/>
  <c r="M25" i="14"/>
  <c r="M26" i="14"/>
  <c r="M15" i="14"/>
  <c r="M4" i="14"/>
  <c r="M5" i="14"/>
  <c r="M6" i="14"/>
  <c r="M7" i="14"/>
  <c r="M8" i="14"/>
  <c r="M9" i="14"/>
  <c r="M10" i="14"/>
  <c r="M11" i="14"/>
  <c r="M12" i="14"/>
  <c r="M13" i="14"/>
  <c r="M14" i="14"/>
  <c r="M3" i="14"/>
  <c r="G57" i="12" a="1"/>
  <c r="G55" i="12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7" i="10"/>
  <c r="I7" i="10"/>
  <c r="I22" i="9"/>
  <c r="I12" i="7"/>
  <c r="H12" i="7"/>
  <c r="G12" i="7"/>
  <c r="F13" i="7"/>
  <c r="F14" i="7"/>
  <c r="F12" i="7"/>
  <c r="F21" i="5"/>
  <c r="E21" i="5"/>
  <c r="C17" i="5" a="1"/>
  <c r="C14" i="5" a="1"/>
  <c r="E4" i="5"/>
  <c r="C20" i="2"/>
  <c r="K7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<sst xmlns="http://schemas.openxmlformats.org/spreadsheetml/2006/main" count="1278" uniqueCount="666">
  <si>
    <t>RDBMS</t>
  </si>
  <si>
    <t>Database</t>
  </si>
  <si>
    <t>Schema</t>
  </si>
  <si>
    <t>Logical category</t>
  </si>
  <si>
    <t>Tables</t>
  </si>
  <si>
    <t>Views</t>
  </si>
  <si>
    <t>M Views</t>
  </si>
  <si>
    <t>Index</t>
  </si>
  <si>
    <t>Columns</t>
  </si>
  <si>
    <t>Function</t>
  </si>
  <si>
    <t>DDL</t>
  </si>
  <si>
    <t>Data Types</t>
  </si>
  <si>
    <t>Shiraj</t>
  </si>
  <si>
    <t>Column1</t>
  </si>
  <si>
    <t>Numeric</t>
  </si>
  <si>
    <t>smallint</t>
  </si>
  <si>
    <t>int</t>
  </si>
  <si>
    <t>bigint</t>
  </si>
  <si>
    <t>serial</t>
  </si>
  <si>
    <t>bigserial</t>
  </si>
  <si>
    <t>numeric</t>
  </si>
  <si>
    <t>real</t>
  </si>
  <si>
    <t>double_prec</t>
  </si>
  <si>
    <t>String</t>
  </si>
  <si>
    <t>char</t>
  </si>
  <si>
    <t>varchar</t>
  </si>
  <si>
    <t>text</t>
  </si>
  <si>
    <t>S</t>
  </si>
  <si>
    <t>I</t>
  </si>
  <si>
    <t>R</t>
  </si>
  <si>
    <t>A</t>
  </si>
  <si>
    <t>J</t>
  </si>
  <si>
    <t>2 GB</t>
  </si>
  <si>
    <t>\0</t>
  </si>
  <si>
    <t>Size</t>
  </si>
  <si>
    <t>5 Byte</t>
  </si>
  <si>
    <t>7 Byte</t>
  </si>
  <si>
    <t>Varing character</t>
  </si>
  <si>
    <t>000111</t>
  </si>
  <si>
    <t>DATE</t>
  </si>
  <si>
    <t>TIME</t>
  </si>
  <si>
    <t>TIMESTAMP</t>
  </si>
  <si>
    <t>TIMESTAMPTZ</t>
  </si>
  <si>
    <t>INTERVAL</t>
  </si>
  <si>
    <t>user_id</t>
  </si>
  <si>
    <t>manually</t>
  </si>
  <si>
    <t>Y</t>
  </si>
  <si>
    <t>N</t>
  </si>
  <si>
    <t>error</t>
  </si>
  <si>
    <t>Error</t>
  </si>
  <si>
    <t>serial | PK</t>
  </si>
  <si>
    <t xml:space="preserve">serial </t>
  </si>
  <si>
    <t>Apple</t>
  </si>
  <si>
    <t>Bicycle</t>
  </si>
  <si>
    <t>Pen</t>
  </si>
  <si>
    <t>NULL</t>
  </si>
  <si>
    <t>Unique</t>
  </si>
  <si>
    <t>Primary Key</t>
  </si>
  <si>
    <t>Unique + Not Null + Reference</t>
  </si>
  <si>
    <t>Foreign Key</t>
  </si>
  <si>
    <t>Employee</t>
  </si>
  <si>
    <t>emp_id</t>
  </si>
  <si>
    <t>emp_name</t>
  </si>
  <si>
    <t>emp_address</t>
  </si>
  <si>
    <t>Salary</t>
  </si>
  <si>
    <t>salary_id</t>
  </si>
  <si>
    <t>salary</t>
  </si>
  <si>
    <t>PK</t>
  </si>
  <si>
    <t>FK</t>
  </si>
  <si>
    <t>Salary_history</t>
  </si>
  <si>
    <t>orderf_items</t>
  </si>
  <si>
    <t>order_id</t>
  </si>
  <si>
    <t>prod_id</t>
  </si>
  <si>
    <t>Emp_id</t>
  </si>
  <si>
    <t>string</t>
  </si>
  <si>
    <t>E0001</t>
  </si>
  <si>
    <t>Cat</t>
  </si>
  <si>
    <t>cat_id</t>
  </si>
  <si>
    <t>cat_name</t>
  </si>
  <si>
    <t>brand</t>
  </si>
  <si>
    <t>brand_id</t>
  </si>
  <si>
    <t>brand_name</t>
  </si>
  <si>
    <t>Parent</t>
  </si>
  <si>
    <t>Child</t>
  </si>
  <si>
    <t>cat</t>
  </si>
  <si>
    <t>Orphan</t>
  </si>
  <si>
    <t>DELETE 3</t>
  </si>
  <si>
    <t>CASCADE</t>
  </si>
  <si>
    <t>Force something which was restricted</t>
  </si>
  <si>
    <t>DELETE from table</t>
  </si>
  <si>
    <t>delete from table cascade</t>
  </si>
  <si>
    <t>violating foreign</t>
  </si>
  <si>
    <t xml:space="preserve">Default </t>
  </si>
  <si>
    <t xml:space="preserve">ON delete </t>
  </si>
  <si>
    <t>Restricted</t>
  </si>
  <si>
    <t>Don’t allow delete</t>
  </si>
  <si>
    <t>Cascade</t>
  </si>
  <si>
    <t>It will delete all child records</t>
  </si>
  <si>
    <t>on delete</t>
  </si>
  <si>
    <t>Set NULL</t>
  </si>
  <si>
    <t>When pareent is deleted set all child to null</t>
  </si>
  <si>
    <t>It will forcefullly delete parent but will not touch child at all</t>
  </si>
  <si>
    <t xml:space="preserve">drop </t>
  </si>
  <si>
    <t>Order Placed</t>
  </si>
  <si>
    <t>Lucknow</t>
  </si>
  <si>
    <t>Amazon</t>
  </si>
  <si>
    <t>Seller</t>
  </si>
  <si>
    <t>Kanyakumari</t>
  </si>
  <si>
    <t>Land</t>
  </si>
  <si>
    <t>Storage</t>
  </si>
  <si>
    <t>Blueprint</t>
  </si>
  <si>
    <t>Fill Products</t>
  </si>
  <si>
    <t>Remove Products</t>
  </si>
  <si>
    <t>Update Products</t>
  </si>
  <si>
    <t>DML</t>
  </si>
  <si>
    <t>insert</t>
  </si>
  <si>
    <t>delete</t>
  </si>
  <si>
    <t>update</t>
  </si>
  <si>
    <t>Retrieval of product</t>
  </si>
  <si>
    <t>DQL</t>
  </si>
  <si>
    <t>select</t>
  </si>
  <si>
    <t>DCL</t>
  </si>
  <si>
    <t>Grant</t>
  </si>
  <si>
    <t>Revoke</t>
  </si>
  <si>
    <t>TCL</t>
  </si>
  <si>
    <t>Begin</t>
  </si>
  <si>
    <t>Commit</t>
  </si>
  <si>
    <t>rollback</t>
  </si>
  <si>
    <t>Savepoint</t>
  </si>
  <si>
    <t>All</t>
  </si>
  <si>
    <t>Mystery</t>
  </si>
  <si>
    <t>Published after 2020 and indian author</t>
  </si>
  <si>
    <t>Name starts with S</t>
  </si>
  <si>
    <t>Price range 200-500</t>
  </si>
  <si>
    <t>Hindi or English</t>
  </si>
  <si>
    <t>only unique authors</t>
  </si>
  <si>
    <t>newest first</t>
  </si>
  <si>
    <t>show me 10</t>
  </si>
  <si>
    <t>category</t>
  </si>
  <si>
    <t>if category = Mystery</t>
  </si>
  <si>
    <t>s*</t>
  </si>
  <si>
    <t>*s</t>
  </si>
  <si>
    <t>*s*</t>
  </si>
  <si>
    <t>Category = NULL</t>
  </si>
  <si>
    <t>category is null</t>
  </si>
  <si>
    <t>s%</t>
  </si>
  <si>
    <t>%s</t>
  </si>
  <si>
    <t>%s%</t>
  </si>
  <si>
    <t>`1-10</t>
  </si>
  <si>
    <t>`11-20</t>
  </si>
  <si>
    <t>`21-30</t>
  </si>
  <si>
    <t xml:space="preserve">Medallion </t>
  </si>
  <si>
    <t>Bronze</t>
  </si>
  <si>
    <t>Silver</t>
  </si>
  <si>
    <t>Gold</t>
  </si>
  <si>
    <t>Raw</t>
  </si>
  <si>
    <t>No change</t>
  </si>
  <si>
    <t>Data Modeling</t>
  </si>
  <si>
    <t>Data Cleaning</t>
  </si>
  <si>
    <t>Data Transformation</t>
  </si>
  <si>
    <t>Our way of storing the data</t>
  </si>
  <si>
    <t>Consumption</t>
  </si>
  <si>
    <t>Data Transformation as per business requirement</t>
  </si>
  <si>
    <t>Power BI</t>
  </si>
  <si>
    <t>Tableau</t>
  </si>
  <si>
    <t>Excel</t>
  </si>
  <si>
    <t>Quick look</t>
  </si>
  <si>
    <t>Spotfire</t>
  </si>
  <si>
    <t>Vizier</t>
  </si>
  <si>
    <t>Functions</t>
  </si>
  <si>
    <t>Argument List</t>
  </si>
  <si>
    <t>Return Value</t>
  </si>
  <si>
    <t>Function Name</t>
  </si>
  <si>
    <t>FROM 1 for 5</t>
  </si>
  <si>
    <t>start from 1</t>
  </si>
  <si>
    <t>take 5 characters</t>
  </si>
  <si>
    <t>FROM 5</t>
  </si>
  <si>
    <t>start from 5</t>
  </si>
  <si>
    <t>take till end</t>
  </si>
  <si>
    <t>FOR 5</t>
  </si>
  <si>
    <t>start from beginning</t>
  </si>
  <si>
    <t>siraj.ahmad@gmail.com</t>
  </si>
  <si>
    <t>Upper</t>
  </si>
  <si>
    <t>Lower</t>
  </si>
  <si>
    <t>Initcap</t>
  </si>
  <si>
    <t>concat</t>
  </si>
  <si>
    <t>Length</t>
  </si>
  <si>
    <t>substring</t>
  </si>
  <si>
    <t>position</t>
  </si>
  <si>
    <t>split_part</t>
  </si>
  <si>
    <t>left</t>
  </si>
  <si>
    <t>right</t>
  </si>
  <si>
    <t>trim</t>
  </si>
  <si>
    <t>ltrim</t>
  </si>
  <si>
    <t>rtrim</t>
  </si>
  <si>
    <t>replace</t>
  </si>
  <si>
    <t>Regular Expression</t>
  </si>
  <si>
    <t>A-Z</t>
  </si>
  <si>
    <t>a-z</t>
  </si>
  <si>
    <t>0-9</t>
  </si>
  <si>
    <t>NOW</t>
  </si>
  <si>
    <t>today</t>
  </si>
  <si>
    <t>year</t>
  </si>
  <si>
    <t>month</t>
  </si>
  <si>
    <t>date</t>
  </si>
  <si>
    <t>day</t>
  </si>
  <si>
    <t>edate</t>
  </si>
  <si>
    <t>emonth</t>
  </si>
  <si>
    <t>hour</t>
  </si>
  <si>
    <t>minute</t>
  </si>
  <si>
    <t>second</t>
  </si>
  <si>
    <t>weekday</t>
  </si>
  <si>
    <t>weeknum</t>
  </si>
  <si>
    <t>current_date</t>
  </si>
  <si>
    <t>current_time</t>
  </si>
  <si>
    <t>current_timestamp</t>
  </si>
  <si>
    <t>extract</t>
  </si>
  <si>
    <t>quarter</t>
  </si>
  <si>
    <t>dow</t>
  </si>
  <si>
    <t>isodow</t>
  </si>
  <si>
    <t>seconds</t>
  </si>
  <si>
    <t>epoch</t>
  </si>
  <si>
    <t>Age</t>
  </si>
  <si>
    <t>Interval</t>
  </si>
  <si>
    <t>`2025-05-06</t>
  </si>
  <si>
    <t>to_char</t>
  </si>
  <si>
    <t>order_date</t>
  </si>
  <si>
    <t>`2026-07-05</t>
  </si>
  <si>
    <t>first_day_of_year</t>
  </si>
  <si>
    <t>`2025-01-01</t>
  </si>
  <si>
    <t>first_day_of_month</t>
  </si>
  <si>
    <t>`2025-05-01</t>
  </si>
  <si>
    <t>date_trunc</t>
  </si>
  <si>
    <t>Marks</t>
  </si>
  <si>
    <t>90+</t>
  </si>
  <si>
    <t>A+</t>
  </si>
  <si>
    <t>80-90</t>
  </si>
  <si>
    <t>70-80</t>
  </si>
  <si>
    <t>B</t>
  </si>
  <si>
    <t>60-70</t>
  </si>
  <si>
    <t>C</t>
  </si>
  <si>
    <t>50-60</t>
  </si>
  <si>
    <t>D</t>
  </si>
  <si>
    <t>40-50</t>
  </si>
  <si>
    <t>E</t>
  </si>
  <si>
    <t>33-40</t>
  </si>
  <si>
    <t>F</t>
  </si>
  <si>
    <t>Otherwise</t>
  </si>
  <si>
    <t>Fail</t>
  </si>
  <si>
    <t>Grade</t>
  </si>
  <si>
    <t xml:space="preserve">Day </t>
  </si>
  <si>
    <t>Sunday</t>
  </si>
  <si>
    <t>Monday</t>
  </si>
  <si>
    <t>Tuesday</t>
  </si>
  <si>
    <t>Wednesday</t>
  </si>
  <si>
    <t>Thursday</t>
  </si>
  <si>
    <t>Friday</t>
  </si>
  <si>
    <t>Saturday</t>
  </si>
  <si>
    <t>Equality</t>
  </si>
  <si>
    <t>Case</t>
  </si>
  <si>
    <t>Placement</t>
  </si>
  <si>
    <t>Select</t>
  </si>
  <si>
    <t>Where</t>
  </si>
  <si>
    <t>Order by</t>
  </si>
  <si>
    <t>Custom Sort</t>
  </si>
  <si>
    <t>KPI</t>
  </si>
  <si>
    <t>Count</t>
  </si>
  <si>
    <t>Sum</t>
  </si>
  <si>
    <t>Avg</t>
  </si>
  <si>
    <t>then 1</t>
  </si>
  <si>
    <t>for other it takes null</t>
  </si>
  <si>
    <t>then amount</t>
  </si>
  <si>
    <t>Show Label. / Conditional Columns</t>
  </si>
  <si>
    <t>Filters the values as per result from case</t>
  </si>
  <si>
    <t>x</t>
  </si>
  <si>
    <t>y</t>
  </si>
  <si>
    <t>Filtering</t>
  </si>
  <si>
    <t>Type Casting</t>
  </si>
  <si>
    <t>Implicit</t>
  </si>
  <si>
    <t>Explicit</t>
  </si>
  <si>
    <t>Automattically by DBMS</t>
  </si>
  <si>
    <t>By User / BY Force</t>
  </si>
  <si>
    <t>Shorthand =&gt; ::</t>
  </si>
  <si>
    <t>Function =&gt; Cast</t>
  </si>
  <si>
    <t>Mobile 1</t>
  </si>
  <si>
    <t>home 1</t>
  </si>
  <si>
    <t>Office 1</t>
  </si>
  <si>
    <t>Mobile 2</t>
  </si>
  <si>
    <t>Default</t>
  </si>
  <si>
    <t xml:space="preserve">Mobile </t>
  </si>
  <si>
    <t>Coalesce</t>
  </si>
  <si>
    <t>Case When</t>
  </si>
  <si>
    <t>(mobile , -1)</t>
  </si>
  <si>
    <t>when mobile is null then -1 else mobile</t>
  </si>
  <si>
    <t>Scalar</t>
  </si>
  <si>
    <t>Aggregate</t>
  </si>
  <si>
    <t>Input</t>
  </si>
  <si>
    <t>Output</t>
  </si>
  <si>
    <t>1 Row</t>
  </si>
  <si>
    <t>N Rows</t>
  </si>
  <si>
    <t>Aggregate + Group By</t>
  </si>
  <si>
    <t>m Rows</t>
  </si>
  <si>
    <t xml:space="preserve"> m is unique categorical value</t>
  </si>
  <si>
    <t>Employee Name</t>
  </si>
  <si>
    <t>Siraj</t>
  </si>
  <si>
    <t>Rahul</t>
  </si>
  <si>
    <t>Mohan</t>
  </si>
  <si>
    <t>Dept</t>
  </si>
  <si>
    <t>Aggregate  + Group By</t>
  </si>
  <si>
    <t>Row Labels</t>
  </si>
  <si>
    <t>Grand Total</t>
  </si>
  <si>
    <t>Sum of Salary</t>
  </si>
  <si>
    <t>The Five</t>
  </si>
  <si>
    <t>Count(column_name)</t>
  </si>
  <si>
    <t>Sum(column_name)</t>
  </si>
  <si>
    <t>Avg(column_name)</t>
  </si>
  <si>
    <t>Min(column_name)</t>
  </si>
  <si>
    <t>Max(column_name)</t>
  </si>
  <si>
    <t>Skip Null Values</t>
  </si>
  <si>
    <t>Count(*)</t>
  </si>
  <si>
    <t>Count(Distinct Col_name)</t>
  </si>
  <si>
    <t>Order Of Execution</t>
  </si>
  <si>
    <t>*</t>
  </si>
  <si>
    <t>Column_name</t>
  </si>
  <si>
    <t>Agg(column_name)</t>
  </si>
  <si>
    <t>Nullif</t>
  </si>
  <si>
    <t>Subquery</t>
  </si>
  <si>
    <t>From</t>
  </si>
  <si>
    <t>Table</t>
  </si>
  <si>
    <t>Join</t>
  </si>
  <si>
    <t>5 ,10 ,100</t>
  </si>
  <si>
    <t>Group By</t>
  </si>
  <si>
    <t>Summarise</t>
  </si>
  <si>
    <t>Having</t>
  </si>
  <si>
    <t>Filter on summarised Data</t>
  </si>
  <si>
    <t>Order By</t>
  </si>
  <si>
    <t>Sorting</t>
  </si>
  <si>
    <t>Limit</t>
  </si>
  <si>
    <t>Limiting visible Rows</t>
  </si>
  <si>
    <t>Offset</t>
  </si>
  <si>
    <t>Pagination</t>
  </si>
  <si>
    <t>Group by</t>
  </si>
  <si>
    <t>Col1_col2_col3</t>
  </si>
  <si>
    <t>any non aggregate column in select should be part of group by clause</t>
  </si>
  <si>
    <t xml:space="preserve">Select </t>
  </si>
  <si>
    <t>z</t>
  </si>
  <si>
    <t>na</t>
  </si>
  <si>
    <t>a</t>
  </si>
  <si>
    <t xml:space="preserve">group by </t>
  </si>
  <si>
    <t>distinct</t>
  </si>
  <si>
    <t>order by</t>
  </si>
  <si>
    <t>limit</t>
  </si>
  <si>
    <t>offset</t>
  </si>
  <si>
    <t>Ram is r</t>
  </si>
  <si>
    <t>Postgres</t>
  </si>
  <si>
    <t>MySQL</t>
  </si>
  <si>
    <t>Sqlite</t>
  </si>
  <si>
    <t>Snoflake</t>
  </si>
  <si>
    <t>BigQuery</t>
  </si>
  <si>
    <t>MS SQL Server</t>
  </si>
  <si>
    <t>Oracle</t>
  </si>
  <si>
    <t>id</t>
  </si>
  <si>
    <t>dept</t>
  </si>
  <si>
    <t>Name</t>
  </si>
  <si>
    <t>b</t>
  </si>
  <si>
    <t>c</t>
  </si>
  <si>
    <t>d</t>
  </si>
  <si>
    <t>Name Group</t>
  </si>
  <si>
    <t>a,b,c,d</t>
  </si>
  <si>
    <t>Scalar Function</t>
  </si>
  <si>
    <t>Aggregate Function</t>
  </si>
  <si>
    <t>1 to 1</t>
  </si>
  <si>
    <t>M to 1</t>
  </si>
  <si>
    <t>Aggregate Function + Group By</t>
  </si>
  <si>
    <t>M to N</t>
  </si>
  <si>
    <t>N is unique categorical Value</t>
  </si>
  <si>
    <t>Every non Aggregate column which is present in select should be part of group by clause</t>
  </si>
  <si>
    <t>e</t>
  </si>
  <si>
    <t>col</t>
  </si>
  <si>
    <t>a | b | c| d | e | f |</t>
  </si>
  <si>
    <t>count</t>
  </si>
  <si>
    <t>sum</t>
  </si>
  <si>
    <t>average</t>
  </si>
  <si>
    <t>min</t>
  </si>
  <si>
    <t>max</t>
  </si>
  <si>
    <t>string_agg</t>
  </si>
  <si>
    <t>School Reunion</t>
  </si>
  <si>
    <t>List A</t>
  </si>
  <si>
    <t>All Graduates</t>
  </si>
  <si>
    <t>Roll No</t>
  </si>
  <si>
    <t>List B</t>
  </si>
  <si>
    <t>RSVP</t>
  </si>
  <si>
    <t>Total</t>
  </si>
  <si>
    <t xml:space="preserve">Total </t>
  </si>
  <si>
    <t>Matching</t>
  </si>
  <si>
    <t>Only in List A</t>
  </si>
  <si>
    <t>Only in List B</t>
  </si>
  <si>
    <t>Planning Trip</t>
  </si>
  <si>
    <t>Group 1</t>
  </si>
  <si>
    <t>From List A don’t know  other from list B</t>
  </si>
  <si>
    <t>From List B don’t know  other from list A</t>
  </si>
  <si>
    <t>Table A</t>
  </si>
  <si>
    <t>Table B</t>
  </si>
  <si>
    <t>Matching Records</t>
  </si>
  <si>
    <t>Inner Join</t>
  </si>
  <si>
    <t>only in List A</t>
  </si>
  <si>
    <t>Table A - Table B</t>
  </si>
  <si>
    <t>Table B - Table A</t>
  </si>
  <si>
    <t>Left Join</t>
  </si>
  <si>
    <t>Right Join</t>
  </si>
  <si>
    <t>List A ( + Matching List B)</t>
  </si>
  <si>
    <t>List B (+ Matching List A)</t>
  </si>
  <si>
    <t>Ways to combine tables together</t>
  </si>
  <si>
    <t>Horizontally</t>
  </si>
  <si>
    <t>Vertically</t>
  </si>
  <si>
    <t>Joins =&gt; Whenever we have to combine table horizontally we need one common Column between them</t>
  </si>
  <si>
    <t>Rohan</t>
  </si>
  <si>
    <t>Seema</t>
  </si>
  <si>
    <t>Class 10 A</t>
  </si>
  <si>
    <t>Class 10 B</t>
  </si>
  <si>
    <t>Union</t>
  </si>
  <si>
    <t>No Of Column should be same</t>
  </si>
  <si>
    <t>The data Type Should be same in respective columns</t>
  </si>
  <si>
    <t>Text</t>
  </si>
  <si>
    <t>Column names will be taken from first table only</t>
  </si>
  <si>
    <t>Types</t>
  </si>
  <si>
    <t>ID</t>
  </si>
  <si>
    <t>Select * from table_a inner join table_b on table_a.id =table_b.id</t>
  </si>
  <si>
    <t>Left</t>
  </si>
  <si>
    <t>Right</t>
  </si>
  <si>
    <t>Table_a</t>
  </si>
  <si>
    <t>Table_b</t>
  </si>
  <si>
    <t>Select * from table_a left join table_b on table_a.id =table_b.id</t>
  </si>
  <si>
    <t>Select * from table_a right join table_b on table_a.id =table_b.id</t>
  </si>
  <si>
    <t>Select * from table_b left join table_a on table_a.id =table_b.id</t>
  </si>
  <si>
    <t>Select * from table_a full join table_b on table_a.id =table_b.id</t>
  </si>
  <si>
    <t>Full Join</t>
  </si>
  <si>
    <t>join</t>
  </si>
  <si>
    <t>Left Outer Join</t>
  </si>
  <si>
    <t>Right Outer Join</t>
  </si>
  <si>
    <t>Full Outer Join</t>
  </si>
  <si>
    <t>core.dim_department</t>
  </si>
  <si>
    <t>dept_id</t>
  </si>
  <si>
    <t>sales.orders</t>
  </si>
  <si>
    <t>cust_id</t>
  </si>
  <si>
    <t>payment_mode_id</t>
  </si>
  <si>
    <t>store_id</t>
  </si>
  <si>
    <t>only in List A ( + Matching List B)</t>
  </si>
  <si>
    <t>Only in List B (+ Matching List A)</t>
  </si>
  <si>
    <t>Self Attested</t>
  </si>
  <si>
    <t>Common Column</t>
  </si>
  <si>
    <t>Inner</t>
  </si>
  <si>
    <t xml:space="preserve">Full </t>
  </si>
  <si>
    <t>Self-Join</t>
  </si>
  <si>
    <t>Select * from table_a a join table_a a_ on a.id-a_.id</t>
  </si>
  <si>
    <t>Id</t>
  </si>
  <si>
    <t>a.dept_id= b.dept_id</t>
  </si>
  <si>
    <t xml:space="preserve"> and a.id&lt;b.id</t>
  </si>
  <si>
    <t xml:space="preserve">Combine table two ways </t>
  </si>
  <si>
    <t>Horizontal</t>
  </si>
  <si>
    <t>Vertical</t>
  </si>
  <si>
    <t>Joins</t>
  </si>
  <si>
    <t>Same No of columns</t>
  </si>
  <si>
    <t>and same data type respectively</t>
  </si>
  <si>
    <t>matching</t>
  </si>
  <si>
    <t>Left all</t>
  </si>
  <si>
    <t>Non matching</t>
  </si>
  <si>
    <t xml:space="preserve">Right </t>
  </si>
  <si>
    <t>Right All</t>
  </si>
  <si>
    <t>Everything from Left and Right</t>
  </si>
  <si>
    <t>Same Tables</t>
  </si>
  <si>
    <t>Col1</t>
  </si>
  <si>
    <t>Col2</t>
  </si>
  <si>
    <t>Col3</t>
  </si>
  <si>
    <t>Union All</t>
  </si>
  <si>
    <t>Class 10</t>
  </si>
  <si>
    <t>No Of Students</t>
  </si>
  <si>
    <t>Subquery =&gt; query within the query</t>
  </si>
  <si>
    <t>Multi Row</t>
  </si>
  <si>
    <t>Derived Tables</t>
  </si>
  <si>
    <t>1 Column</t>
  </si>
  <si>
    <t>M Rows</t>
  </si>
  <si>
    <t>N Columns</t>
  </si>
  <si>
    <t>Guest_name</t>
  </si>
  <si>
    <t>Is_VIP</t>
  </si>
  <si>
    <t>City</t>
  </si>
  <si>
    <t>Delhi</t>
  </si>
  <si>
    <t>Gurgoan</t>
  </si>
  <si>
    <t>name</t>
  </si>
  <si>
    <t>payment_id</t>
  </si>
  <si>
    <t>employee_id</t>
  </si>
  <si>
    <t>payment_date</t>
  </si>
  <si>
    <t>first_salary</t>
  </si>
  <si>
    <t>employee.id = salary_history.id</t>
  </si>
  <si>
    <t>Inner_query</t>
  </si>
  <si>
    <t>Step 2</t>
  </si>
  <si>
    <t>Outer_query</t>
  </si>
  <si>
    <t>Step 1</t>
  </si>
  <si>
    <t xml:space="preserve">outer Linked with inner one </t>
  </si>
  <si>
    <t>Subquery + link between outer and inner query through columns of inner or Outer query =&gt; Correlated Subquery</t>
  </si>
  <si>
    <t>Retailmart</t>
  </si>
  <si>
    <t>16 Schema</t>
  </si>
  <si>
    <t>55 Tables</t>
  </si>
  <si>
    <t xml:space="preserve">A New Intern </t>
  </si>
  <si>
    <t>Joined</t>
  </si>
  <si>
    <t>One giant Table</t>
  </si>
  <si>
    <t>Customer Info</t>
  </si>
  <si>
    <t>Order Details</t>
  </si>
  <si>
    <t>Product Info</t>
  </si>
  <si>
    <t>Store Info</t>
  </si>
  <si>
    <t>Addresses</t>
  </si>
  <si>
    <t>The Senior Data Engineer</t>
  </si>
  <si>
    <t>Delete</t>
  </si>
  <si>
    <t>Insert</t>
  </si>
  <si>
    <t>Update</t>
  </si>
  <si>
    <t>Anomaly</t>
  </si>
  <si>
    <t>Orders</t>
  </si>
  <si>
    <t>prod_ids</t>
  </si>
  <si>
    <t>1,2,3</t>
  </si>
  <si>
    <t>Order_items</t>
  </si>
  <si>
    <t>Order_id</t>
  </si>
  <si>
    <t>Normalization</t>
  </si>
  <si>
    <t>1NF</t>
  </si>
  <si>
    <t>Atomic Value in cell</t>
  </si>
  <si>
    <t>2 NF</t>
  </si>
  <si>
    <t>Only when we have composite Primary Key</t>
  </si>
  <si>
    <t>No Partial Dependency</t>
  </si>
  <si>
    <t>id_1</t>
  </si>
  <si>
    <t>id_2</t>
  </si>
  <si>
    <t>Composite PK</t>
  </si>
  <si>
    <t>col1</t>
  </si>
  <si>
    <t>col2</t>
  </si>
  <si>
    <t>col3</t>
  </si>
  <si>
    <t>Family Tree</t>
  </si>
  <si>
    <t>GrandFather</t>
  </si>
  <si>
    <t>GrandMOther</t>
  </si>
  <si>
    <t>Father</t>
  </si>
  <si>
    <t>Mother</t>
  </si>
  <si>
    <t xml:space="preserve">Uncle </t>
  </si>
  <si>
    <t>Aunty</t>
  </si>
  <si>
    <t>You</t>
  </si>
  <si>
    <t>Sibliing</t>
  </si>
  <si>
    <t>Cousin</t>
  </si>
  <si>
    <t>Wife</t>
  </si>
  <si>
    <t>Kids</t>
  </si>
  <si>
    <t>3 NF</t>
  </si>
  <si>
    <t>No Transitive Dependency</t>
  </si>
  <si>
    <t>Ali</t>
  </si>
  <si>
    <t>C57</t>
  </si>
  <si>
    <t>Session</t>
  </si>
  <si>
    <t>Ctrl N</t>
  </si>
  <si>
    <t>Çtrl Z</t>
  </si>
  <si>
    <t>New / Start</t>
  </si>
  <si>
    <t>Undo</t>
  </si>
  <si>
    <t>Ctrl S</t>
  </si>
  <si>
    <t>Save</t>
  </si>
  <si>
    <t>Version History</t>
  </si>
  <si>
    <t>Rollback</t>
  </si>
  <si>
    <t>dept_name</t>
  </si>
  <si>
    <t>employee_name</t>
  </si>
  <si>
    <t>Customer Support</t>
  </si>
  <si>
    <t>Januja Chaudhari</t>
  </si>
  <si>
    <t>Priya Rastogi</t>
  </si>
  <si>
    <t>Udyati Ramesh</t>
  </si>
  <si>
    <t>Veda Chadha</t>
  </si>
  <si>
    <t>Manan Pingle</t>
  </si>
  <si>
    <t>Omya Chaudhuri</t>
  </si>
  <si>
    <t>Finance</t>
  </si>
  <si>
    <t>Charvi Kannan</t>
  </si>
  <si>
    <t>Eta Gulati</t>
  </si>
  <si>
    <t>Forum Vala</t>
  </si>
  <si>
    <t>Charvi Sastry</t>
  </si>
  <si>
    <t>Wyatt Bhakta</t>
  </si>
  <si>
    <t>HR</t>
  </si>
  <si>
    <t>Veer Saran</t>
  </si>
  <si>
    <t>Chavvi Chander</t>
  </si>
  <si>
    <t>Tamanna Khare</t>
  </si>
  <si>
    <t>Gaurav Banerjee</t>
  </si>
  <si>
    <t>Zarna Kota</t>
  </si>
  <si>
    <t>Harrison Behl</t>
  </si>
  <si>
    <t>Isaiah Vora</t>
  </si>
  <si>
    <t>Rank</t>
  </si>
  <si>
    <t>Row_number</t>
  </si>
  <si>
    <t>Over()</t>
  </si>
  <si>
    <t>aggregate() / Window()</t>
  </si>
  <si>
    <t xml:space="preserve">Partition by </t>
  </si>
  <si>
    <t>Create window in the table</t>
  </si>
  <si>
    <t>Order data in that window</t>
  </si>
  <si>
    <t>If no partiton by given whole table will be considered as a window</t>
  </si>
  <si>
    <t>Row_Number</t>
  </si>
  <si>
    <t>Dense_rank</t>
  </si>
  <si>
    <t>Year</t>
  </si>
  <si>
    <t>Sales</t>
  </si>
  <si>
    <t>Month</t>
  </si>
  <si>
    <t>P By Year</t>
  </si>
  <si>
    <t>SUM</t>
  </si>
  <si>
    <t>P By Year Order by Month</t>
  </si>
  <si>
    <t>monthly_revenue</t>
  </si>
  <si>
    <t>company_wide_total</t>
  </si>
  <si>
    <t>cummulative_revenue</t>
  </si>
  <si>
    <t>last 3 month</t>
  </si>
  <si>
    <t>Start</t>
  </si>
  <si>
    <t>Current</t>
  </si>
  <si>
    <t>End</t>
  </si>
  <si>
    <t>UnBOUNDED Preceding</t>
  </si>
  <si>
    <t>Current ROW</t>
  </si>
  <si>
    <t>UNBOUNDED FOLLOWING</t>
  </si>
  <si>
    <t>CURRENT ROW</t>
  </si>
  <si>
    <t>2 preceding</t>
  </si>
  <si>
    <t>Curent Row</t>
  </si>
  <si>
    <t>4 preceding</t>
  </si>
  <si>
    <t>Current Row</t>
  </si>
  <si>
    <t>3 following</t>
  </si>
  <si>
    <t>2 following</t>
  </si>
  <si>
    <t>daily_orders</t>
  </si>
  <si>
    <t>round</t>
  </si>
  <si>
    <t>round-2</t>
  </si>
  <si>
    <t>prev_sales</t>
  </si>
  <si>
    <t>diff</t>
  </si>
  <si>
    <t>Lead</t>
  </si>
  <si>
    <t>Lag</t>
  </si>
  <si>
    <t>null</t>
  </si>
  <si>
    <t>Travel</t>
  </si>
  <si>
    <t>Home</t>
  </si>
  <si>
    <t>Trip Location</t>
  </si>
  <si>
    <t/>
  </si>
  <si>
    <t>400 Km</t>
  </si>
  <si>
    <t>Goggle Map</t>
  </si>
  <si>
    <t>Route 1</t>
  </si>
  <si>
    <t>Route 2</t>
  </si>
  <si>
    <t>Route 3</t>
  </si>
  <si>
    <t>9 hours</t>
  </si>
  <si>
    <t>8.5 Hours</t>
  </si>
  <si>
    <t>10 Hours</t>
  </si>
  <si>
    <t>Mostly Highway</t>
  </si>
  <si>
    <t>Too many State Highway</t>
  </si>
  <si>
    <t>Good Hilly Roads</t>
  </si>
  <si>
    <t>Reach Faster / Good Mileage</t>
  </si>
  <si>
    <t>Explain</t>
  </si>
  <si>
    <t xml:space="preserve">Plan </t>
  </si>
  <si>
    <t>steps</t>
  </si>
  <si>
    <t>rows</t>
  </si>
  <si>
    <t>How much Time</t>
  </si>
  <si>
    <t>Trip Day</t>
  </si>
  <si>
    <t>Plan</t>
  </si>
  <si>
    <t>13 Hours</t>
  </si>
  <si>
    <t>12 Hours</t>
  </si>
  <si>
    <t>Good Hilly Roads + Highway</t>
  </si>
  <si>
    <t>Explain Analyze</t>
  </si>
  <si>
    <t>Execute</t>
  </si>
  <si>
    <t>Seq</t>
  </si>
  <si>
    <t>index Column</t>
  </si>
  <si>
    <t>Cluster</t>
  </si>
  <si>
    <t>Non Cluster</t>
  </si>
  <si>
    <t>1 GB</t>
  </si>
  <si>
    <t>1 minute</t>
  </si>
  <si>
    <t>100 GB</t>
  </si>
  <si>
    <t>100 minute</t>
  </si>
  <si>
    <t>10.24 MB</t>
  </si>
  <si>
    <t>0.6 Seconds</t>
  </si>
  <si>
    <t>2 sec combine</t>
  </si>
  <si>
    <t>3 seconds</t>
  </si>
  <si>
    <t>cat1</t>
  </si>
  <si>
    <t>cat2</t>
  </si>
  <si>
    <t>cat3</t>
  </si>
  <si>
    <t>cat4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</si>
</sst>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0" xfId="0" applyNumberFormat="1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0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7" xfId="0" applyFill="1" applyBorder="1"/>
    <xf numFmtId="0" fontId="0" fillId="5" borderId="0" xfId="0" applyFill="1"/>
    <xf numFmtId="0" fontId="0" fillId="5" borderId="9" xfId="0" applyFill="1" applyBorder="1"/>
    <xf numFmtId="0" fontId="0" fillId="5" borderId="10" xfId="0" applyFill="1" applyBorder="1"/>
    <xf numFmtId="0" fontId="0" fillId="5" borderId="8" xfId="0" applyFill="1" applyBorder="1"/>
    <xf numFmtId="0" fontId="0" fillId="5" borderId="11" xfId="0" applyFill="1" applyBorder="1"/>
    <xf numFmtId="0" fontId="1" fillId="0" borderId="0" xfId="1"/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0" fillId="0" borderId="15" xfId="0" applyBorder="1"/>
    <xf numFmtId="0" fontId="0" fillId="0" borderId="16" xfId="0" applyBorder="1"/>
    <xf numFmtId="0" fontId="3" fillId="0" borderId="0" xfId="0" applyFont="1"/>
    <xf numFmtId="0" fontId="0" fillId="9" borderId="6" xfId="0" applyFill="1" applyBorder="1"/>
    <xf numFmtId="0" fontId="0" fillId="9" borderId="8" xfId="0" applyFill="1" applyBorder="1"/>
    <xf numFmtId="0" fontId="0" fillId="9" borderId="11" xfId="0" applyFill="1" applyBorder="1"/>
    <xf numFmtId="0" fontId="0" fillId="9" borderId="17" xfId="0" applyFill="1" applyBorder="1"/>
    <xf numFmtId="0" fontId="0" fillId="0" borderId="18" xfId="0" applyBorder="1"/>
    <xf numFmtId="0" fontId="0" fillId="2" borderId="15" xfId="0" applyFill="1" applyBorder="1"/>
    <xf numFmtId="0" fontId="0" fillId="2" borderId="18" xfId="0" applyFill="1" applyBorder="1"/>
    <xf numFmtId="0" fontId="0" fillId="2" borderId="16" xfId="0" applyFill="1" applyBorder="1"/>
    <xf numFmtId="0" fontId="0" fillId="10" borderId="0" xfId="0" applyFill="1"/>
    <xf numFmtId="0" fontId="0" fillId="2" borderId="12" xfId="0" applyFill="1" applyBorder="1"/>
    <xf numFmtId="0" fontId="0" fillId="2" borderId="14" xfId="0" applyFill="1" applyBorder="1"/>
    <xf numFmtId="0" fontId="0" fillId="2" borderId="13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10" borderId="12" xfId="0" applyFill="1" applyBorder="1"/>
    <xf numFmtId="0" fontId="0" fillId="10" borderId="13" xfId="0" applyFill="1" applyBorder="1"/>
    <xf numFmtId="0" fontId="0" fillId="10" borderId="14" xfId="0" applyFill="1" applyBorder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/>
    <xf numFmtId="0" fontId="0" fillId="2" borderId="0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14" xfId="0" applyFill="1" applyBorder="1"/>
    <xf numFmtId="0" fontId="0" fillId="11" borderId="0" xfId="0" applyFill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ustomXml" Target="../ink/ink8.xml"/><Relationship Id="rId18" Type="http://schemas.openxmlformats.org/officeDocument/2006/relationships/image" Target="../media/image12.png"/><Relationship Id="rId26" Type="http://schemas.openxmlformats.org/officeDocument/2006/relationships/image" Target="../media/image16.png"/><Relationship Id="rId3" Type="http://schemas.openxmlformats.org/officeDocument/2006/relationships/customXml" Target="../ink/ink3.xml"/><Relationship Id="rId21" Type="http://schemas.openxmlformats.org/officeDocument/2006/relationships/customXml" Target="../ink/ink12.xml"/><Relationship Id="rId7" Type="http://schemas.openxmlformats.org/officeDocument/2006/relationships/customXml" Target="../ink/ink5.xml"/><Relationship Id="rId12" Type="http://schemas.openxmlformats.org/officeDocument/2006/relationships/image" Target="../media/image9.png"/><Relationship Id="rId17" Type="http://schemas.openxmlformats.org/officeDocument/2006/relationships/customXml" Target="../ink/ink10.xml"/><Relationship Id="rId25" Type="http://schemas.openxmlformats.org/officeDocument/2006/relationships/customXml" Target="../ink/ink14.xml"/><Relationship Id="rId2" Type="http://schemas.openxmlformats.org/officeDocument/2006/relationships/image" Target="../media/image4.png"/><Relationship Id="rId16" Type="http://schemas.openxmlformats.org/officeDocument/2006/relationships/image" Target="../media/image11.png"/><Relationship Id="rId20" Type="http://schemas.openxmlformats.org/officeDocument/2006/relationships/image" Target="../media/image13.png"/><Relationship Id="rId29" Type="http://schemas.openxmlformats.org/officeDocument/2006/relationships/customXml" Target="../ink/ink16.xml"/><Relationship Id="rId1" Type="http://schemas.openxmlformats.org/officeDocument/2006/relationships/customXml" Target="../ink/ink2.xml"/><Relationship Id="rId6" Type="http://schemas.openxmlformats.org/officeDocument/2006/relationships/image" Target="../media/image6.png"/><Relationship Id="rId11" Type="http://schemas.openxmlformats.org/officeDocument/2006/relationships/customXml" Target="../ink/ink7.xml"/><Relationship Id="rId24" Type="http://schemas.openxmlformats.org/officeDocument/2006/relationships/image" Target="../media/image15.png"/><Relationship Id="rId32" Type="http://schemas.openxmlformats.org/officeDocument/2006/relationships/image" Target="../media/image19.png"/><Relationship Id="rId5" Type="http://schemas.openxmlformats.org/officeDocument/2006/relationships/customXml" Target="../ink/ink4.xml"/><Relationship Id="rId15" Type="http://schemas.openxmlformats.org/officeDocument/2006/relationships/customXml" Target="../ink/ink9.xml"/><Relationship Id="rId23" Type="http://schemas.openxmlformats.org/officeDocument/2006/relationships/customXml" Target="../ink/ink13.xml"/><Relationship Id="rId28" Type="http://schemas.openxmlformats.org/officeDocument/2006/relationships/image" Target="../media/image17.png"/><Relationship Id="rId10" Type="http://schemas.openxmlformats.org/officeDocument/2006/relationships/image" Target="../media/image8.png"/><Relationship Id="rId19" Type="http://schemas.openxmlformats.org/officeDocument/2006/relationships/customXml" Target="../ink/ink11.xml"/><Relationship Id="rId31" Type="http://schemas.openxmlformats.org/officeDocument/2006/relationships/customXml" Target="../ink/ink17.xml"/><Relationship Id="rId4" Type="http://schemas.openxmlformats.org/officeDocument/2006/relationships/image" Target="../media/image5.png"/><Relationship Id="rId9" Type="http://schemas.openxmlformats.org/officeDocument/2006/relationships/customXml" Target="../ink/ink6.xml"/><Relationship Id="rId14" Type="http://schemas.openxmlformats.org/officeDocument/2006/relationships/image" Target="../media/image10.png"/><Relationship Id="rId22" Type="http://schemas.openxmlformats.org/officeDocument/2006/relationships/image" Target="../media/image14.png"/><Relationship Id="rId27" Type="http://schemas.openxmlformats.org/officeDocument/2006/relationships/customXml" Target="../ink/ink15.xml"/><Relationship Id="rId30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4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customXml" Target="../ink/ink19.xml"/><Relationship Id="rId5" Type="http://schemas.openxmlformats.org/officeDocument/2006/relationships/image" Target="../media/image23.png"/><Relationship Id="rId4" Type="http://schemas.openxmlformats.org/officeDocument/2006/relationships/customXml" Target="../ink/ink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ustomXml" Target="../ink/ink21.xml"/><Relationship Id="rId2" Type="http://schemas.openxmlformats.org/officeDocument/2006/relationships/image" Target="../media/image25.png"/><Relationship Id="rId1" Type="http://schemas.openxmlformats.org/officeDocument/2006/relationships/customXml" Target="../ink/ink20.xml"/><Relationship Id="rId6" Type="http://schemas.openxmlformats.org/officeDocument/2006/relationships/image" Target="../media/image27.png"/><Relationship Id="rId5" Type="http://schemas.openxmlformats.org/officeDocument/2006/relationships/customXml" Target="../ink/ink22.xml"/><Relationship Id="rId4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customXml" Target="../ink/ink24.xml"/><Relationship Id="rId7" Type="http://schemas.openxmlformats.org/officeDocument/2006/relationships/customXml" Target="../ink/ink26.xml"/><Relationship Id="rId2" Type="http://schemas.openxmlformats.org/officeDocument/2006/relationships/image" Target="../media/image28.png"/><Relationship Id="rId1" Type="http://schemas.openxmlformats.org/officeDocument/2006/relationships/customXml" Target="../ink/ink23.xml"/><Relationship Id="rId6" Type="http://schemas.openxmlformats.org/officeDocument/2006/relationships/image" Target="../media/image30.png"/><Relationship Id="rId5" Type="http://schemas.openxmlformats.org/officeDocument/2006/relationships/customXml" Target="../ink/ink25.xml"/><Relationship Id="rId10" Type="http://schemas.openxmlformats.org/officeDocument/2006/relationships/image" Target="../media/image32.png"/><Relationship Id="rId4" Type="http://schemas.openxmlformats.org/officeDocument/2006/relationships/image" Target="../media/image29.png"/><Relationship Id="rId9" Type="http://schemas.openxmlformats.org/officeDocument/2006/relationships/customXml" Target="../ink/ink2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customXml" Target="../ink/ink29.xml"/><Relationship Id="rId7" Type="http://schemas.openxmlformats.org/officeDocument/2006/relationships/customXml" Target="../ink/ink31.xml"/><Relationship Id="rId2" Type="http://schemas.openxmlformats.org/officeDocument/2006/relationships/image" Target="../media/image33.png"/><Relationship Id="rId1" Type="http://schemas.openxmlformats.org/officeDocument/2006/relationships/customXml" Target="../ink/ink28.xml"/><Relationship Id="rId6" Type="http://schemas.openxmlformats.org/officeDocument/2006/relationships/image" Target="../media/image35.png"/><Relationship Id="rId5" Type="http://schemas.openxmlformats.org/officeDocument/2006/relationships/customXml" Target="../ink/ink30.xml"/><Relationship Id="rId10" Type="http://schemas.openxmlformats.org/officeDocument/2006/relationships/image" Target="../media/image37.png"/><Relationship Id="rId4" Type="http://schemas.openxmlformats.org/officeDocument/2006/relationships/image" Target="../media/image34.png"/><Relationship Id="rId9" Type="http://schemas.openxmlformats.org/officeDocument/2006/relationships/customXml" Target="../ink/ink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190500</xdr:rowOff>
    </xdr:from>
    <xdr:to>
      <xdr:col>13</xdr:col>
      <xdr:colOff>6350</xdr:colOff>
      <xdr:row>21</xdr:row>
      <xdr:rowOff>165100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4F464DCE-76E5-84F8-AFD3-3359B7392D6B}"/>
            </a:ext>
          </a:extLst>
        </xdr:cNvPr>
        <xdr:cNvSpPr/>
      </xdr:nvSpPr>
      <xdr:spPr>
        <a:xfrm>
          <a:off x="838200" y="393700"/>
          <a:ext cx="9899650" cy="4038600"/>
        </a:xfrm>
        <a:prstGeom prst="frame">
          <a:avLst>
            <a:gd name="adj1" fmla="val 2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165100</xdr:colOff>
      <xdr:row>2</xdr:row>
      <xdr:rowOff>133350</xdr:rowOff>
    </xdr:from>
    <xdr:to>
      <xdr:col>10</xdr:col>
      <xdr:colOff>114300</xdr:colOff>
      <xdr:row>21</xdr:row>
      <xdr:rowOff>44450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8E37B57B-73CB-7641-85B8-0583ED51FBAA}"/>
            </a:ext>
          </a:extLst>
        </xdr:cNvPr>
        <xdr:cNvSpPr/>
      </xdr:nvSpPr>
      <xdr:spPr>
        <a:xfrm>
          <a:off x="990600" y="539750"/>
          <a:ext cx="7378700" cy="3771900"/>
        </a:xfrm>
        <a:prstGeom prst="frame">
          <a:avLst>
            <a:gd name="adj1" fmla="val 243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177800</xdr:colOff>
      <xdr:row>2</xdr:row>
      <xdr:rowOff>127000</xdr:rowOff>
    </xdr:from>
    <xdr:to>
      <xdr:col>12</xdr:col>
      <xdr:colOff>666750</xdr:colOff>
      <xdr:row>21</xdr:row>
      <xdr:rowOff>38100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CC4B6AA7-263F-554E-A8CD-2FB3DA5AFC1C}"/>
            </a:ext>
          </a:extLst>
        </xdr:cNvPr>
        <xdr:cNvSpPr/>
      </xdr:nvSpPr>
      <xdr:spPr>
        <a:xfrm>
          <a:off x="8432800" y="533400"/>
          <a:ext cx="2139950" cy="3771900"/>
        </a:xfrm>
        <a:prstGeom prst="frame">
          <a:avLst>
            <a:gd name="adj1" fmla="val 2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317500</xdr:colOff>
      <xdr:row>3</xdr:row>
      <xdr:rowOff>82550</xdr:rowOff>
    </xdr:from>
    <xdr:to>
      <xdr:col>3</xdr:col>
      <xdr:colOff>546100</xdr:colOff>
      <xdr:row>20</xdr:row>
      <xdr:rowOff>57150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53248299-B650-1743-A544-A16693AEFFCA}"/>
            </a:ext>
          </a:extLst>
        </xdr:cNvPr>
        <xdr:cNvSpPr/>
      </xdr:nvSpPr>
      <xdr:spPr>
        <a:xfrm>
          <a:off x="1143000" y="69215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673100</xdr:colOff>
      <xdr:row>3</xdr:row>
      <xdr:rowOff>82550</xdr:rowOff>
    </xdr:from>
    <xdr:to>
      <xdr:col>6</xdr:col>
      <xdr:colOff>76200</xdr:colOff>
      <xdr:row>20</xdr:row>
      <xdr:rowOff>57150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C48FC806-1F09-5845-88C6-13F3F60B01FC}"/>
            </a:ext>
          </a:extLst>
        </xdr:cNvPr>
        <xdr:cNvSpPr/>
      </xdr:nvSpPr>
      <xdr:spPr>
        <a:xfrm>
          <a:off x="3149600" y="69215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177800</xdr:colOff>
      <xdr:row>3</xdr:row>
      <xdr:rowOff>76200</xdr:rowOff>
    </xdr:from>
    <xdr:to>
      <xdr:col>8</xdr:col>
      <xdr:colOff>406400</xdr:colOff>
      <xdr:row>20</xdr:row>
      <xdr:rowOff>50800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11E3E1AA-EFEA-D347-BFF5-1707F3674F7F}"/>
            </a:ext>
          </a:extLst>
        </xdr:cNvPr>
        <xdr:cNvSpPr/>
      </xdr:nvSpPr>
      <xdr:spPr>
        <a:xfrm>
          <a:off x="5130800" y="68580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565150</xdr:colOff>
      <xdr:row>3</xdr:row>
      <xdr:rowOff>88900</xdr:rowOff>
    </xdr:from>
    <xdr:to>
      <xdr:col>9</xdr:col>
      <xdr:colOff>736600</xdr:colOff>
      <xdr:row>20</xdr:row>
      <xdr:rowOff>63500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11830A05-5F04-8B42-97CC-B38CC4EA3A88}"/>
            </a:ext>
          </a:extLst>
        </xdr:cNvPr>
        <xdr:cNvSpPr/>
      </xdr:nvSpPr>
      <xdr:spPr>
        <a:xfrm>
          <a:off x="7169150" y="698500"/>
          <a:ext cx="99695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482600</xdr:colOff>
      <xdr:row>4</xdr:row>
      <xdr:rowOff>50800</xdr:rowOff>
    </xdr:from>
    <xdr:to>
      <xdr:col>3</xdr:col>
      <xdr:colOff>336550</xdr:colOff>
      <xdr:row>8</xdr:row>
      <xdr:rowOff>76200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BF5151F6-E081-EF4C-86DA-259F1E85CE0B}"/>
            </a:ext>
          </a:extLst>
        </xdr:cNvPr>
        <xdr:cNvSpPr/>
      </xdr:nvSpPr>
      <xdr:spPr>
        <a:xfrm>
          <a:off x="1308100" y="8636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469900</xdr:colOff>
      <xdr:row>8</xdr:row>
      <xdr:rowOff>171450</xdr:rowOff>
    </xdr:from>
    <xdr:to>
      <xdr:col>3</xdr:col>
      <xdr:colOff>323850</xdr:colOff>
      <xdr:row>12</xdr:row>
      <xdr:rowOff>196850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50FBDB1A-8673-A64C-88C8-F2C995E41445}"/>
            </a:ext>
          </a:extLst>
        </xdr:cNvPr>
        <xdr:cNvSpPr/>
      </xdr:nvSpPr>
      <xdr:spPr>
        <a:xfrm>
          <a:off x="1295400" y="17970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476250</xdr:colOff>
      <xdr:row>13</xdr:row>
      <xdr:rowOff>196850</xdr:rowOff>
    </xdr:from>
    <xdr:to>
      <xdr:col>3</xdr:col>
      <xdr:colOff>330200</xdr:colOff>
      <xdr:row>18</xdr:row>
      <xdr:rowOff>19050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BDCCB365-A3B3-E747-849A-72DF7D839A7C}"/>
            </a:ext>
          </a:extLst>
        </xdr:cNvPr>
        <xdr:cNvSpPr/>
      </xdr:nvSpPr>
      <xdr:spPr>
        <a:xfrm>
          <a:off x="1301750" y="28384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25400</xdr:colOff>
      <xdr:row>4</xdr:row>
      <xdr:rowOff>139700</xdr:rowOff>
    </xdr:from>
    <xdr:to>
      <xdr:col>5</xdr:col>
      <xdr:colOff>704850</xdr:colOff>
      <xdr:row>8</xdr:row>
      <xdr:rowOff>165100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6FECF2A6-8EFF-094B-87B3-1A97925E679D}"/>
            </a:ext>
          </a:extLst>
        </xdr:cNvPr>
        <xdr:cNvSpPr/>
      </xdr:nvSpPr>
      <xdr:spPr>
        <a:xfrm>
          <a:off x="3327400" y="9525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12700</xdr:colOff>
      <xdr:row>9</xdr:row>
      <xdr:rowOff>57150</xdr:rowOff>
    </xdr:from>
    <xdr:to>
      <xdr:col>5</xdr:col>
      <xdr:colOff>692150</xdr:colOff>
      <xdr:row>13</xdr:row>
      <xdr:rowOff>82550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EFD50B21-BE76-3745-BEAB-C2EA6FB8D14C}"/>
            </a:ext>
          </a:extLst>
        </xdr:cNvPr>
        <xdr:cNvSpPr/>
      </xdr:nvSpPr>
      <xdr:spPr>
        <a:xfrm>
          <a:off x="3314700" y="18859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19050</xdr:colOff>
      <xdr:row>14</xdr:row>
      <xdr:rowOff>82550</xdr:rowOff>
    </xdr:from>
    <xdr:to>
      <xdr:col>5</xdr:col>
      <xdr:colOff>698500</xdr:colOff>
      <xdr:row>18</xdr:row>
      <xdr:rowOff>107950</xdr:rowOff>
    </xdr:to>
    <xdr:sp macro="" textlink="">
      <xdr:nvSpPr>
        <xdr:cNvPr id="14" name="Frame 13">
          <a:extLst>
            <a:ext uri="{FF2B5EF4-FFF2-40B4-BE49-F238E27FC236}">
              <a16:creationId xmlns:a16="http://schemas.microsoft.com/office/drawing/2014/main" id="{148309AE-EF57-3943-8C87-27D1F55666B7}"/>
            </a:ext>
          </a:extLst>
        </xdr:cNvPr>
        <xdr:cNvSpPr/>
      </xdr:nvSpPr>
      <xdr:spPr>
        <a:xfrm>
          <a:off x="3321050" y="29273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342900</xdr:colOff>
      <xdr:row>4</xdr:row>
      <xdr:rowOff>177800</xdr:rowOff>
    </xdr:from>
    <xdr:to>
      <xdr:col>8</xdr:col>
      <xdr:colOff>196850</xdr:colOff>
      <xdr:row>9</xdr:row>
      <xdr:rowOff>0</xdr:rowOff>
    </xdr:to>
    <xdr:sp macro="" textlink="">
      <xdr:nvSpPr>
        <xdr:cNvPr id="15" name="Frame 14">
          <a:extLst>
            <a:ext uri="{FF2B5EF4-FFF2-40B4-BE49-F238E27FC236}">
              <a16:creationId xmlns:a16="http://schemas.microsoft.com/office/drawing/2014/main" id="{5736F2DA-E5D3-9C43-B346-656862E63953}"/>
            </a:ext>
          </a:extLst>
        </xdr:cNvPr>
        <xdr:cNvSpPr/>
      </xdr:nvSpPr>
      <xdr:spPr>
        <a:xfrm>
          <a:off x="5295900" y="9906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330200</xdr:colOff>
      <xdr:row>9</xdr:row>
      <xdr:rowOff>95250</xdr:rowOff>
    </xdr:from>
    <xdr:to>
      <xdr:col>8</xdr:col>
      <xdr:colOff>184150</xdr:colOff>
      <xdr:row>13</xdr:row>
      <xdr:rowOff>120650</xdr:rowOff>
    </xdr:to>
    <xdr:sp macro="" textlink="">
      <xdr:nvSpPr>
        <xdr:cNvPr id="16" name="Frame 15">
          <a:extLst>
            <a:ext uri="{FF2B5EF4-FFF2-40B4-BE49-F238E27FC236}">
              <a16:creationId xmlns:a16="http://schemas.microsoft.com/office/drawing/2014/main" id="{44DB7AAE-2B60-4B46-BE7F-C25BD9C0102E}"/>
            </a:ext>
          </a:extLst>
        </xdr:cNvPr>
        <xdr:cNvSpPr/>
      </xdr:nvSpPr>
      <xdr:spPr>
        <a:xfrm>
          <a:off x="5283200" y="19240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336550</xdr:colOff>
      <xdr:row>14</xdr:row>
      <xdr:rowOff>120650</xdr:rowOff>
    </xdr:from>
    <xdr:to>
      <xdr:col>8</xdr:col>
      <xdr:colOff>190500</xdr:colOff>
      <xdr:row>18</xdr:row>
      <xdr:rowOff>146050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0EC7831B-796A-0F47-BDCC-03CA6C8CCA80}"/>
            </a:ext>
          </a:extLst>
        </xdr:cNvPr>
        <xdr:cNvSpPr/>
      </xdr:nvSpPr>
      <xdr:spPr>
        <a:xfrm>
          <a:off x="5289550" y="29654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660400</xdr:colOff>
      <xdr:row>4</xdr:row>
      <xdr:rowOff>184150</xdr:rowOff>
    </xdr:from>
    <xdr:to>
      <xdr:col>9</xdr:col>
      <xdr:colOff>609600</xdr:colOff>
      <xdr:row>9</xdr:row>
      <xdr:rowOff>6350</xdr:rowOff>
    </xdr:to>
    <xdr:sp macro="" textlink="">
      <xdr:nvSpPr>
        <xdr:cNvPr id="18" name="Frame 17">
          <a:extLst>
            <a:ext uri="{FF2B5EF4-FFF2-40B4-BE49-F238E27FC236}">
              <a16:creationId xmlns:a16="http://schemas.microsoft.com/office/drawing/2014/main" id="{35A9E5EB-621E-8C4D-AD29-11F05816AD53}"/>
            </a:ext>
          </a:extLst>
        </xdr:cNvPr>
        <xdr:cNvSpPr/>
      </xdr:nvSpPr>
      <xdr:spPr>
        <a:xfrm>
          <a:off x="7264400" y="99695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647700</xdr:colOff>
      <xdr:row>9</xdr:row>
      <xdr:rowOff>101600</xdr:rowOff>
    </xdr:from>
    <xdr:to>
      <xdr:col>9</xdr:col>
      <xdr:colOff>596900</xdr:colOff>
      <xdr:row>13</xdr:row>
      <xdr:rowOff>127000</xdr:rowOff>
    </xdr:to>
    <xdr:sp macro="" textlink="">
      <xdr:nvSpPr>
        <xdr:cNvPr id="19" name="Frame 18">
          <a:extLst>
            <a:ext uri="{FF2B5EF4-FFF2-40B4-BE49-F238E27FC236}">
              <a16:creationId xmlns:a16="http://schemas.microsoft.com/office/drawing/2014/main" id="{AA619770-14F6-A243-9530-95706FA4E409}"/>
            </a:ext>
          </a:extLst>
        </xdr:cNvPr>
        <xdr:cNvSpPr/>
      </xdr:nvSpPr>
      <xdr:spPr>
        <a:xfrm>
          <a:off x="7251700" y="193040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654050</xdr:colOff>
      <xdr:row>14</xdr:row>
      <xdr:rowOff>127000</xdr:rowOff>
    </xdr:from>
    <xdr:to>
      <xdr:col>9</xdr:col>
      <xdr:colOff>603250</xdr:colOff>
      <xdr:row>18</xdr:row>
      <xdr:rowOff>152400</xdr:rowOff>
    </xdr:to>
    <xdr:sp macro="" textlink="">
      <xdr:nvSpPr>
        <xdr:cNvPr id="20" name="Frame 19">
          <a:extLst>
            <a:ext uri="{FF2B5EF4-FFF2-40B4-BE49-F238E27FC236}">
              <a16:creationId xmlns:a16="http://schemas.microsoft.com/office/drawing/2014/main" id="{4F4BAC76-CE21-BA47-A297-6A58A2553C4B}"/>
            </a:ext>
          </a:extLst>
        </xdr:cNvPr>
        <xdr:cNvSpPr/>
      </xdr:nvSpPr>
      <xdr:spPr>
        <a:xfrm>
          <a:off x="7258050" y="297180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428020</xdr:colOff>
      <xdr:row>43</xdr:row>
      <xdr:rowOff>146840</xdr:rowOff>
    </xdr:from>
    <xdr:to>
      <xdr:col>6</xdr:col>
      <xdr:colOff>202140</xdr:colOff>
      <xdr:row>47</xdr:row>
      <xdr:rowOff>114520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0EB9ABD-D895-BA56-C8C9-ADE3F8F34863}"/>
                </a:ext>
              </a:extLst>
            </xdr14:cNvPr>
            <xdr14:cNvContentPartPr/>
          </xdr14:nvContentPartPr>
          <xdr14:nvPr macro=""/>
          <xdr14:xfrm>
            <a:off x="1253520" y="8884440"/>
            <a:ext cx="5006520" cy="780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0EB9ABD-D895-BA56-C8C9-ADE3F8F348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49200" y="8880120"/>
              <a:ext cx="5015160" cy="78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1441450</xdr:colOff>
      <xdr:row>25</xdr:row>
      <xdr:rowOff>209550</xdr:rowOff>
    </xdr:from>
    <xdr:to>
      <xdr:col>8</xdr:col>
      <xdr:colOff>0</xdr:colOff>
      <xdr:row>40</xdr:row>
      <xdr:rowOff>177800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216E69-26CD-FD3B-1E57-896AD3ED4E1A}"/>
            </a:ext>
          </a:extLst>
        </xdr:cNvPr>
        <xdr:cNvSpPr/>
      </xdr:nvSpPr>
      <xdr:spPr>
        <a:xfrm>
          <a:off x="2266950" y="5289550"/>
          <a:ext cx="6038850" cy="3028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27</xdr:row>
      <xdr:rowOff>6350</xdr:rowOff>
    </xdr:from>
    <xdr:to>
      <xdr:col>7</xdr:col>
      <xdr:colOff>387350</xdr:colOff>
      <xdr:row>31</xdr:row>
      <xdr:rowOff>69850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F1C17BD9-A5AB-7BD8-E3F2-0AB426B35B5C}"/>
            </a:ext>
          </a:extLst>
        </xdr:cNvPr>
        <xdr:cNvSpPr/>
      </xdr:nvSpPr>
      <xdr:spPr>
        <a:xfrm>
          <a:off x="3175000" y="5505450"/>
          <a:ext cx="4692650" cy="876300"/>
        </a:xfrm>
        <a:prstGeom prst="frame">
          <a:avLst>
            <a:gd name="adj1" fmla="val 7713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57150</xdr:colOff>
      <xdr:row>31</xdr:row>
      <xdr:rowOff>101600</xdr:rowOff>
    </xdr:from>
    <xdr:to>
      <xdr:col>7</xdr:col>
      <xdr:colOff>368300</xdr:colOff>
      <xdr:row>35</xdr:row>
      <xdr:rowOff>165100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A0D203B3-61F9-1244-8767-4CC451C39630}"/>
            </a:ext>
          </a:extLst>
        </xdr:cNvPr>
        <xdr:cNvSpPr/>
      </xdr:nvSpPr>
      <xdr:spPr>
        <a:xfrm>
          <a:off x="3155950" y="6413500"/>
          <a:ext cx="4692650" cy="876300"/>
        </a:xfrm>
        <a:prstGeom prst="frame">
          <a:avLst>
            <a:gd name="adj1" fmla="val 7713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44450</xdr:colOff>
      <xdr:row>36</xdr:row>
      <xdr:rowOff>19050</xdr:rowOff>
    </xdr:from>
    <xdr:to>
      <xdr:col>7</xdr:col>
      <xdr:colOff>355600</xdr:colOff>
      <xdr:row>40</xdr:row>
      <xdr:rowOff>82550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BB3E12A4-982A-964E-B6DE-C85D0215FE20}"/>
            </a:ext>
          </a:extLst>
        </xdr:cNvPr>
        <xdr:cNvSpPr/>
      </xdr:nvSpPr>
      <xdr:spPr>
        <a:xfrm>
          <a:off x="3143250" y="7346950"/>
          <a:ext cx="4692650" cy="876300"/>
        </a:xfrm>
        <a:prstGeom prst="frame">
          <a:avLst>
            <a:gd name="adj1" fmla="val 7713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6</xdr:col>
      <xdr:colOff>977900</xdr:colOff>
      <xdr:row>85</xdr:row>
      <xdr:rowOff>98912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DC9EE4-D82D-A93C-ACBE-2CADC279A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4859000"/>
          <a:ext cx="7772400" cy="25373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6</xdr:col>
      <xdr:colOff>977900</xdr:colOff>
      <xdr:row>96</xdr:row>
      <xdr:rowOff>96928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BBD4C8-EBDB-5EB5-E3A7-C2B6B4C94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7703800"/>
          <a:ext cx="7772400" cy="19257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233020</xdr:colOff>
      <xdr:row>82</xdr:row>
      <xdr:rowOff>65640</xdr:rowOff>
    </xdr:from>
    <xdr:to>
      <xdr:col>2</xdr:col>
      <xdr:colOff>315460</xdr:colOff>
      <xdr:row>82</xdr:row>
      <xdr:rowOff>180120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26286DD-D99A-1CF8-C900-BA4F1717BA5B}"/>
                </a:ext>
              </a:extLst>
            </xdr14:cNvPr>
            <xdr14:cNvContentPartPr/>
          </xdr14:nvContentPartPr>
          <xdr14:nvPr macro=""/>
          <xdr14:xfrm>
            <a:off x="3877920" y="16829640"/>
            <a:ext cx="82440" cy="114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26286DD-D99A-1CF8-C900-BA4F1717BA5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71827" y="16823520"/>
              <a:ext cx="94627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222580</xdr:colOff>
      <xdr:row>83</xdr:row>
      <xdr:rowOff>86720</xdr:rowOff>
    </xdr:from>
    <xdr:to>
      <xdr:col>2</xdr:col>
      <xdr:colOff>296380</xdr:colOff>
      <xdr:row>83</xdr:row>
      <xdr:rowOff>189320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9EE2ADD-82FB-C959-4950-617F5DD56924}"/>
                </a:ext>
              </a:extLst>
            </xdr14:cNvPr>
            <xdr14:cNvContentPartPr/>
          </xdr14:nvContentPartPr>
          <xdr14:nvPr macro=""/>
          <xdr14:xfrm>
            <a:off x="3867480" y="17053920"/>
            <a:ext cx="73800" cy="102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9EE2ADD-82FB-C959-4950-617F5DD5692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861360" y="17047800"/>
              <a:ext cx="8604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197020</xdr:colOff>
      <xdr:row>82</xdr:row>
      <xdr:rowOff>102360</xdr:rowOff>
    </xdr:from>
    <xdr:to>
      <xdr:col>5</xdr:col>
      <xdr:colOff>38240</xdr:colOff>
      <xdr:row>84</xdr:row>
      <xdr:rowOff>199240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63F9E8C-A6C1-BFA2-2F73-340F9271ED76}"/>
                </a:ext>
              </a:extLst>
            </xdr14:cNvPr>
            <xdr14:cNvContentPartPr/>
          </xdr14:nvContentPartPr>
          <xdr14:nvPr macro=""/>
          <xdr14:xfrm>
            <a:off x="3841920" y="16866360"/>
            <a:ext cx="2495520" cy="503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63F9E8C-A6C1-BFA2-2F73-340F9271ED7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835800" y="16860240"/>
              <a:ext cx="2507760" cy="51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276220</xdr:colOff>
      <xdr:row>85</xdr:row>
      <xdr:rowOff>51480</xdr:rowOff>
    </xdr:from>
    <xdr:to>
      <xdr:col>2</xdr:col>
      <xdr:colOff>379180</xdr:colOff>
      <xdr:row>86</xdr:row>
      <xdr:rowOff>24680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6587578-650B-7089-F07B-571B589436CD}"/>
                </a:ext>
              </a:extLst>
            </xdr14:cNvPr>
            <xdr14:cNvContentPartPr/>
          </xdr14:nvContentPartPr>
          <xdr14:nvPr macro=""/>
          <xdr14:xfrm>
            <a:off x="3921120" y="17425080"/>
            <a:ext cx="102960" cy="176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6587578-650B-7089-F07B-571B589436C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915000" y="17418960"/>
              <a:ext cx="11520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319060</xdr:colOff>
      <xdr:row>86</xdr:row>
      <xdr:rowOff>108200</xdr:rowOff>
    </xdr:from>
    <xdr:to>
      <xdr:col>2</xdr:col>
      <xdr:colOff>556300</xdr:colOff>
      <xdr:row>89</xdr:row>
      <xdr:rowOff>186920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860428E-70E6-2EC0-4072-A807DB72FC2A}"/>
                </a:ext>
              </a:extLst>
            </xdr14:cNvPr>
            <xdr14:cNvContentPartPr/>
          </xdr14:nvContentPartPr>
          <xdr14:nvPr macro=""/>
          <xdr14:xfrm>
            <a:off x="3963960" y="17685000"/>
            <a:ext cx="237240" cy="6883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860428E-70E6-2EC0-4072-A807DB72FC2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957840" y="17678877"/>
              <a:ext cx="249480" cy="7005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328480</xdr:colOff>
      <xdr:row>82</xdr:row>
      <xdr:rowOff>59160</xdr:rowOff>
    </xdr:from>
    <xdr:to>
      <xdr:col>5</xdr:col>
      <xdr:colOff>523240</xdr:colOff>
      <xdr:row>83</xdr:row>
      <xdr:rowOff>18320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93C3B4A9-7272-10B8-DEFC-2B2B6A5597AA}"/>
                </a:ext>
              </a:extLst>
            </xdr14:cNvPr>
            <xdr14:cNvContentPartPr/>
          </xdr14:nvContentPartPr>
          <xdr14:nvPr macro=""/>
          <xdr14:xfrm>
            <a:off x="6754680" y="16823160"/>
            <a:ext cx="194760" cy="162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93C3B4A9-7272-10B8-DEFC-2B2B6A5597A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748560" y="16817040"/>
              <a:ext cx="20700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294640</xdr:colOff>
      <xdr:row>83</xdr:row>
      <xdr:rowOff>54320</xdr:rowOff>
    </xdr:from>
    <xdr:to>
      <xdr:col>5</xdr:col>
      <xdr:colOff>420280</xdr:colOff>
      <xdr:row>83</xdr:row>
      <xdr:rowOff>200840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A500C53-9774-5BA6-A555-28F19A551019}"/>
                </a:ext>
              </a:extLst>
            </xdr14:cNvPr>
            <xdr14:cNvContentPartPr/>
          </xdr14:nvContentPartPr>
          <xdr14:nvPr macro=""/>
          <xdr14:xfrm>
            <a:off x="6720840" y="17021520"/>
            <a:ext cx="125640" cy="146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A500C53-9774-5BA6-A555-28F19A55101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714720" y="17015400"/>
              <a:ext cx="13788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178360</xdr:colOff>
      <xdr:row>84</xdr:row>
      <xdr:rowOff>84400</xdr:rowOff>
    </xdr:from>
    <xdr:to>
      <xdr:col>5</xdr:col>
      <xdr:colOff>455560</xdr:colOff>
      <xdr:row>89</xdr:row>
      <xdr:rowOff>77840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EC46B66-B0D7-EEE1-E1DA-0DA3CB5E5EED}"/>
                </a:ext>
              </a:extLst>
            </xdr14:cNvPr>
            <xdr14:cNvContentPartPr/>
          </xdr14:nvContentPartPr>
          <xdr14:nvPr macro=""/>
          <xdr14:xfrm>
            <a:off x="6604560" y="17254800"/>
            <a:ext cx="277200" cy="10094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EC46B66-B0D7-EEE1-E1DA-0DA3CB5E5EE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598432" y="17248678"/>
              <a:ext cx="289456" cy="10216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220740</xdr:colOff>
      <xdr:row>169</xdr:row>
      <xdr:rowOff>17480</xdr:rowOff>
    </xdr:from>
    <xdr:to>
      <xdr:col>10</xdr:col>
      <xdr:colOff>69100</xdr:colOff>
      <xdr:row>180</xdr:row>
      <xdr:rowOff>76920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E2F3521B-D268-C02B-7CDC-6E6BF5261BC1}"/>
                </a:ext>
              </a:extLst>
            </xdr14:cNvPr>
            <xdr14:cNvContentPartPr/>
          </xdr14:nvContentPartPr>
          <xdr14:nvPr macro=""/>
          <xdr14:xfrm>
            <a:off x="7345440" y="34510680"/>
            <a:ext cx="3150360" cy="22946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E2F3521B-D268-C02B-7CDC-6E6BF5261BC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341120" y="34506360"/>
              <a:ext cx="3158999" cy="230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2237780</xdr:colOff>
      <xdr:row>241</xdr:row>
      <xdr:rowOff>57960</xdr:rowOff>
    </xdr:from>
    <xdr:to>
      <xdr:col>4</xdr:col>
      <xdr:colOff>326980</xdr:colOff>
      <xdr:row>252</xdr:row>
      <xdr:rowOff>64480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1715E3BC-1A48-C744-406A-81C2F286BED3}"/>
                </a:ext>
              </a:extLst>
            </xdr14:cNvPr>
            <xdr14:cNvContentPartPr/>
          </xdr14:nvContentPartPr>
          <xdr14:nvPr macro=""/>
          <xdr14:xfrm>
            <a:off x="2555280" y="49206960"/>
            <a:ext cx="3016800" cy="22417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1715E3BC-1A48-C744-406A-81C2F286BED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50960" y="49202640"/>
              <a:ext cx="3025440" cy="225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477440</xdr:colOff>
      <xdr:row>240</xdr:row>
      <xdr:rowOff>196000</xdr:rowOff>
    </xdr:from>
    <xdr:to>
      <xdr:col>8</xdr:col>
      <xdr:colOff>497540</xdr:colOff>
      <xdr:row>247</xdr:row>
      <xdr:rowOff>154560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9EC167A0-BFCB-56A4-CA57-31A3492D563F}"/>
                </a:ext>
              </a:extLst>
            </xdr14:cNvPr>
            <xdr14:cNvContentPartPr/>
          </xdr14:nvContentPartPr>
          <xdr14:nvPr macro=""/>
          <xdr14:xfrm>
            <a:off x="6776640" y="49141800"/>
            <a:ext cx="2496600" cy="13809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9EC167A0-BFCB-56A4-CA57-31A3492D563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772320" y="49137480"/>
              <a:ext cx="2505240" cy="138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147660</xdr:colOff>
      <xdr:row>256</xdr:row>
      <xdr:rowOff>128640</xdr:rowOff>
    </xdr:from>
    <xdr:to>
      <xdr:col>6</xdr:col>
      <xdr:colOff>233700</xdr:colOff>
      <xdr:row>257</xdr:row>
      <xdr:rowOff>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73A7387A-2E25-3B7F-144A-EA1652E9C24E}"/>
                </a:ext>
              </a:extLst>
            </xdr14:cNvPr>
            <xdr14:cNvContentPartPr/>
          </xdr14:nvContentPartPr>
          <xdr14:nvPr macro=""/>
          <xdr14:xfrm>
            <a:off x="7272360" y="52325640"/>
            <a:ext cx="86040" cy="81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73A7387A-2E25-3B7F-144A-EA1652E9C24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268040" y="52321320"/>
              <a:ext cx="9468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244500</xdr:colOff>
      <xdr:row>255</xdr:row>
      <xdr:rowOff>106480</xdr:rowOff>
    </xdr:from>
    <xdr:to>
      <xdr:col>7</xdr:col>
      <xdr:colOff>175360</xdr:colOff>
      <xdr:row>256</xdr:row>
      <xdr:rowOff>170760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89327D3-941A-47B6-C677-657C81CE7327}"/>
                </a:ext>
              </a:extLst>
            </xdr14:cNvPr>
            <xdr14:cNvContentPartPr/>
          </xdr14:nvContentPartPr>
          <xdr14:nvPr macro=""/>
          <xdr14:xfrm>
            <a:off x="7369200" y="52100280"/>
            <a:ext cx="756360" cy="2674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E89327D3-941A-47B6-C677-657C81CE7327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364880" y="52095960"/>
              <a:ext cx="765000" cy="27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196960</xdr:colOff>
      <xdr:row>253</xdr:row>
      <xdr:rowOff>42720</xdr:rowOff>
    </xdr:from>
    <xdr:to>
      <xdr:col>8</xdr:col>
      <xdr:colOff>57980</xdr:colOff>
      <xdr:row>255</xdr:row>
      <xdr:rowOff>187840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C9696F8D-86E8-5C02-E9C1-0A0D9427BF02}"/>
                </a:ext>
              </a:extLst>
            </xdr14:cNvPr>
            <xdr14:cNvContentPartPr/>
          </xdr14:nvContentPartPr>
          <xdr14:nvPr macro=""/>
          <xdr14:xfrm>
            <a:off x="8147160" y="51630120"/>
            <a:ext cx="686520" cy="5515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C9696F8D-86E8-5C02-E9C1-0A0D9427BF0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142840" y="51625800"/>
              <a:ext cx="695160" cy="56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905500</xdr:colOff>
      <xdr:row>252</xdr:row>
      <xdr:rowOff>109840</xdr:rowOff>
    </xdr:from>
    <xdr:to>
      <xdr:col>7</xdr:col>
      <xdr:colOff>158440</xdr:colOff>
      <xdr:row>260</xdr:row>
      <xdr:rowOff>173720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61681ABD-F18C-3014-229B-186CB69847FB}"/>
                </a:ext>
              </a:extLst>
            </xdr14:cNvPr>
            <xdr14:cNvContentPartPr/>
          </xdr14:nvContentPartPr>
          <xdr14:nvPr macro=""/>
          <xdr14:xfrm>
            <a:off x="6150600" y="51494040"/>
            <a:ext cx="1958040" cy="16894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1681ABD-F18C-3014-229B-186CB69847F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6146280" y="51489719"/>
              <a:ext cx="1966680" cy="16981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206260</xdr:colOff>
      <xdr:row>249</xdr:row>
      <xdr:rowOff>199960</xdr:rowOff>
    </xdr:from>
    <xdr:to>
      <xdr:col>3</xdr:col>
      <xdr:colOff>208060</xdr:colOff>
      <xdr:row>249</xdr:row>
      <xdr:rowOff>201040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BD915424-6A15-F331-D2FD-A0D56AB67C3E}"/>
                </a:ext>
              </a:extLst>
            </xdr14:cNvPr>
            <xdr14:cNvContentPartPr/>
          </xdr14:nvContentPartPr>
          <xdr14:nvPr macro=""/>
          <xdr14:xfrm>
            <a:off x="4917960" y="50974560"/>
            <a:ext cx="1800" cy="10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BD915424-6A15-F331-D2FD-A0D56AB67C3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913640" y="50970240"/>
              <a:ext cx="10440" cy="9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6</xdr:col>
      <xdr:colOff>749300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21218-2E68-1582-70D1-36A7FC403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1811000"/>
          <a:ext cx="4470400" cy="3454400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58</xdr:row>
      <xdr:rowOff>25400</xdr:rowOff>
    </xdr:from>
    <xdr:to>
      <xdr:col>6</xdr:col>
      <xdr:colOff>742950</xdr:colOff>
      <xdr:row>75</xdr:row>
      <xdr:rowOff>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F89A0BF5-9809-AB95-85D6-CA1AB88FE3B3}"/>
            </a:ext>
          </a:extLst>
        </xdr:cNvPr>
        <xdr:cNvSpPr/>
      </xdr:nvSpPr>
      <xdr:spPr>
        <a:xfrm>
          <a:off x="831850" y="11836400"/>
          <a:ext cx="4457700" cy="3429000"/>
        </a:xfrm>
        <a:prstGeom prst="frame">
          <a:avLst>
            <a:gd name="adj1" fmla="val 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101600</xdr:colOff>
      <xdr:row>67</xdr:row>
      <xdr:rowOff>6350</xdr:rowOff>
    </xdr:from>
    <xdr:to>
      <xdr:col>6</xdr:col>
      <xdr:colOff>400050</xdr:colOff>
      <xdr:row>73</xdr:row>
      <xdr:rowOff>95250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7DC21503-BC3D-49D6-37DD-931B0C15D80D}"/>
            </a:ext>
          </a:extLst>
        </xdr:cNvPr>
        <xdr:cNvSpPr/>
      </xdr:nvSpPr>
      <xdr:spPr>
        <a:xfrm>
          <a:off x="1752600" y="13646150"/>
          <a:ext cx="3194050" cy="1308100"/>
        </a:xfrm>
        <a:prstGeom prst="frame">
          <a:avLst>
            <a:gd name="adj1" fmla="val 4089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5</xdr:col>
      <xdr:colOff>488950</xdr:colOff>
      <xdr:row>108</xdr:row>
      <xdr:rowOff>20068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B99289-A743-EC4F-6256-A208E156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7297400"/>
          <a:ext cx="3384550" cy="4693668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131</xdr:row>
      <xdr:rowOff>152400</xdr:rowOff>
    </xdr:from>
    <xdr:to>
      <xdr:col>14</xdr:col>
      <xdr:colOff>539750</xdr:colOff>
      <xdr:row>148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13E833-3110-1F37-938A-08B638726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26797000"/>
          <a:ext cx="10852150" cy="3473450"/>
        </a:xfrm>
        <a:prstGeom prst="rect">
          <a:avLst/>
        </a:prstGeom>
      </xdr:spPr>
    </xdr:pic>
    <xdr:clientData/>
  </xdr:twoCellAnchor>
  <xdr:twoCellAnchor>
    <xdr:from>
      <xdr:col>0</xdr:col>
      <xdr:colOff>749300</xdr:colOff>
      <xdr:row>84</xdr:row>
      <xdr:rowOff>120650</xdr:rowOff>
    </xdr:from>
    <xdr:to>
      <xdr:col>5</xdr:col>
      <xdr:colOff>577850</xdr:colOff>
      <xdr:row>108</xdr:row>
      <xdr:rowOff>107950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A001E8AD-75A5-38C8-0131-4CA17AB9A767}"/>
            </a:ext>
          </a:extLst>
        </xdr:cNvPr>
        <xdr:cNvSpPr/>
      </xdr:nvSpPr>
      <xdr:spPr>
        <a:xfrm>
          <a:off x="749300" y="17214850"/>
          <a:ext cx="3549650" cy="4864100"/>
        </a:xfrm>
        <a:prstGeom prst="frame">
          <a:avLst>
            <a:gd name="adj1" fmla="val 22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317500</xdr:colOff>
      <xdr:row>87</xdr:row>
      <xdr:rowOff>165100</xdr:rowOff>
    </xdr:from>
    <xdr:to>
      <xdr:col>5</xdr:col>
      <xdr:colOff>292100</xdr:colOff>
      <xdr:row>93</xdr:row>
      <xdr:rowOff>146050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0ABC95ED-546F-C027-15A5-74A7E42EF86A}"/>
            </a:ext>
          </a:extLst>
        </xdr:cNvPr>
        <xdr:cNvSpPr/>
      </xdr:nvSpPr>
      <xdr:spPr>
        <a:xfrm>
          <a:off x="1143000" y="17868900"/>
          <a:ext cx="2870200" cy="120015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298450</xdr:colOff>
      <xdr:row>93</xdr:row>
      <xdr:rowOff>158750</xdr:rowOff>
    </xdr:from>
    <xdr:to>
      <xdr:col>5</xdr:col>
      <xdr:colOff>273050</xdr:colOff>
      <xdr:row>99</xdr:row>
      <xdr:rowOff>31750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08C3EB24-AEBD-3945-A846-ACABEF145480}"/>
            </a:ext>
          </a:extLst>
        </xdr:cNvPr>
        <xdr:cNvSpPr/>
      </xdr:nvSpPr>
      <xdr:spPr>
        <a:xfrm>
          <a:off x="1123950" y="19081750"/>
          <a:ext cx="2870200" cy="109220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209550</xdr:colOff>
      <xdr:row>102</xdr:row>
      <xdr:rowOff>127000</xdr:rowOff>
    </xdr:from>
    <xdr:to>
      <xdr:col>5</xdr:col>
      <xdr:colOff>184150</xdr:colOff>
      <xdr:row>107</xdr:row>
      <xdr:rowOff>133350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FA76C9EE-5E51-014E-A898-54B756A298AF}"/>
            </a:ext>
          </a:extLst>
        </xdr:cNvPr>
        <xdr:cNvSpPr/>
      </xdr:nvSpPr>
      <xdr:spPr>
        <a:xfrm>
          <a:off x="1035050" y="20878800"/>
          <a:ext cx="2870200" cy="102235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463550</xdr:colOff>
      <xdr:row>96</xdr:row>
      <xdr:rowOff>88900</xdr:rowOff>
    </xdr:from>
    <xdr:to>
      <xdr:col>11</xdr:col>
      <xdr:colOff>711200</xdr:colOff>
      <xdr:row>108</xdr:row>
      <xdr:rowOff>50800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6F8DF95D-5776-AD42-A5F9-B888AFD47813}"/>
            </a:ext>
          </a:extLst>
        </xdr:cNvPr>
        <xdr:cNvSpPr/>
      </xdr:nvSpPr>
      <xdr:spPr>
        <a:xfrm>
          <a:off x="5835650" y="19621500"/>
          <a:ext cx="3549650" cy="2400300"/>
        </a:xfrm>
        <a:prstGeom prst="frame">
          <a:avLst>
            <a:gd name="adj1" fmla="val 22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495300</xdr:colOff>
      <xdr:row>86</xdr:row>
      <xdr:rowOff>63500</xdr:rowOff>
    </xdr:from>
    <xdr:to>
      <xdr:col>11</xdr:col>
      <xdr:colOff>800100</xdr:colOff>
      <xdr:row>89</xdr:row>
      <xdr:rowOff>50800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B3475248-E913-8A4E-9196-34E2CFE85465}"/>
            </a:ext>
          </a:extLst>
        </xdr:cNvPr>
        <xdr:cNvSpPr/>
      </xdr:nvSpPr>
      <xdr:spPr>
        <a:xfrm>
          <a:off x="5867400" y="17564100"/>
          <a:ext cx="3606800" cy="59690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6350</xdr:colOff>
      <xdr:row>131</xdr:row>
      <xdr:rowOff>133350</xdr:rowOff>
    </xdr:from>
    <xdr:to>
      <xdr:col>14</xdr:col>
      <xdr:colOff>590550</xdr:colOff>
      <xdr:row>148</xdr:row>
      <xdr:rowOff>177800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420BE081-A669-9740-BBD9-5C2E65140B42}"/>
            </a:ext>
          </a:extLst>
        </xdr:cNvPr>
        <xdr:cNvSpPr/>
      </xdr:nvSpPr>
      <xdr:spPr>
        <a:xfrm>
          <a:off x="831850" y="26777950"/>
          <a:ext cx="10909300" cy="3498850"/>
        </a:xfrm>
        <a:prstGeom prst="frame">
          <a:avLst>
            <a:gd name="adj1" fmla="val 22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279400</xdr:colOff>
      <xdr:row>137</xdr:row>
      <xdr:rowOff>95250</xdr:rowOff>
    </xdr:from>
    <xdr:to>
      <xdr:col>14</xdr:col>
      <xdr:colOff>425450</xdr:colOff>
      <xdr:row>139</xdr:row>
      <xdr:rowOff>50800</xdr:rowOff>
    </xdr:to>
    <xdr:sp macro="" textlink="">
      <xdr:nvSpPr>
        <xdr:cNvPr id="14" name="Frame 13">
          <a:extLst>
            <a:ext uri="{FF2B5EF4-FFF2-40B4-BE49-F238E27FC236}">
              <a16:creationId xmlns:a16="http://schemas.microsoft.com/office/drawing/2014/main" id="{17CC9CE1-65F5-E144-A7BF-305E3F8A21E2}"/>
            </a:ext>
          </a:extLst>
        </xdr:cNvPr>
        <xdr:cNvSpPr/>
      </xdr:nvSpPr>
      <xdr:spPr>
        <a:xfrm>
          <a:off x="1104900" y="27959050"/>
          <a:ext cx="10471150" cy="36195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292100</xdr:colOff>
      <xdr:row>139</xdr:row>
      <xdr:rowOff>38100</xdr:rowOff>
    </xdr:from>
    <xdr:to>
      <xdr:col>14</xdr:col>
      <xdr:colOff>438150</xdr:colOff>
      <xdr:row>140</xdr:row>
      <xdr:rowOff>107950</xdr:rowOff>
    </xdr:to>
    <xdr:sp macro="" textlink="">
      <xdr:nvSpPr>
        <xdr:cNvPr id="15" name="Frame 14">
          <a:extLst>
            <a:ext uri="{FF2B5EF4-FFF2-40B4-BE49-F238E27FC236}">
              <a16:creationId xmlns:a16="http://schemas.microsoft.com/office/drawing/2014/main" id="{821F2665-FC1D-F44E-BB7C-180C8C9D53BC}"/>
            </a:ext>
          </a:extLst>
        </xdr:cNvPr>
        <xdr:cNvSpPr/>
      </xdr:nvSpPr>
      <xdr:spPr>
        <a:xfrm>
          <a:off x="1117600" y="28308300"/>
          <a:ext cx="10471150" cy="27305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298450</xdr:colOff>
      <xdr:row>140</xdr:row>
      <xdr:rowOff>120650</xdr:rowOff>
    </xdr:from>
    <xdr:to>
      <xdr:col>13</xdr:col>
      <xdr:colOff>114300</xdr:colOff>
      <xdr:row>141</xdr:row>
      <xdr:rowOff>190500</xdr:rowOff>
    </xdr:to>
    <xdr:sp macro="" textlink="">
      <xdr:nvSpPr>
        <xdr:cNvPr id="16" name="Frame 15">
          <a:extLst>
            <a:ext uri="{FF2B5EF4-FFF2-40B4-BE49-F238E27FC236}">
              <a16:creationId xmlns:a16="http://schemas.microsoft.com/office/drawing/2014/main" id="{CA0951BD-B27A-D74F-80F0-5FD917A828C6}"/>
            </a:ext>
          </a:extLst>
        </xdr:cNvPr>
        <xdr:cNvSpPr/>
      </xdr:nvSpPr>
      <xdr:spPr>
        <a:xfrm>
          <a:off x="1123950" y="28594050"/>
          <a:ext cx="9315450" cy="27305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298450</xdr:colOff>
      <xdr:row>142</xdr:row>
      <xdr:rowOff>0</xdr:rowOff>
    </xdr:from>
    <xdr:to>
      <xdr:col>12</xdr:col>
      <xdr:colOff>273050</xdr:colOff>
      <xdr:row>143</xdr:row>
      <xdr:rowOff>69850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3D6B9C84-53CF-1540-BFEB-6B03CE57A15F}"/>
            </a:ext>
          </a:extLst>
        </xdr:cNvPr>
        <xdr:cNvSpPr/>
      </xdr:nvSpPr>
      <xdr:spPr>
        <a:xfrm>
          <a:off x="1123950" y="28879800"/>
          <a:ext cx="8648700" cy="27305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6350</xdr:colOff>
      <xdr:row>156</xdr:row>
      <xdr:rowOff>196850</xdr:rowOff>
    </xdr:from>
    <xdr:to>
      <xdr:col>9</xdr:col>
      <xdr:colOff>698500</xdr:colOff>
      <xdr:row>163</xdr:row>
      <xdr:rowOff>184150</xdr:rowOff>
    </xdr:to>
    <xdr:sp macro="" textlink="">
      <xdr:nvSpPr>
        <xdr:cNvPr id="18" name="Frame 17">
          <a:extLst>
            <a:ext uri="{FF2B5EF4-FFF2-40B4-BE49-F238E27FC236}">
              <a16:creationId xmlns:a16="http://schemas.microsoft.com/office/drawing/2014/main" id="{8CEB4506-7461-184A-9DAC-2C52285DCDBD}"/>
            </a:ext>
          </a:extLst>
        </xdr:cNvPr>
        <xdr:cNvSpPr/>
      </xdr:nvSpPr>
      <xdr:spPr>
        <a:xfrm>
          <a:off x="831850" y="31921450"/>
          <a:ext cx="6889750" cy="1409700"/>
        </a:xfrm>
        <a:prstGeom prst="frame">
          <a:avLst>
            <a:gd name="adj1" fmla="val 53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151</xdr:row>
      <xdr:rowOff>50800</xdr:rowOff>
    </xdr:from>
    <xdr:to>
      <xdr:col>9</xdr:col>
      <xdr:colOff>812800</xdr:colOff>
      <xdr:row>153</xdr:row>
      <xdr:rowOff>6350</xdr:rowOff>
    </xdr:to>
    <xdr:sp macro="" textlink="">
      <xdr:nvSpPr>
        <xdr:cNvPr id="19" name="Frame 18">
          <a:extLst>
            <a:ext uri="{FF2B5EF4-FFF2-40B4-BE49-F238E27FC236}">
              <a16:creationId xmlns:a16="http://schemas.microsoft.com/office/drawing/2014/main" id="{39B82198-A432-EB46-BC1B-69883BD9DD3F}"/>
            </a:ext>
          </a:extLst>
        </xdr:cNvPr>
        <xdr:cNvSpPr/>
      </xdr:nvSpPr>
      <xdr:spPr>
        <a:xfrm>
          <a:off x="844550" y="30759400"/>
          <a:ext cx="6991350" cy="36195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31750</xdr:colOff>
      <xdr:row>153</xdr:row>
      <xdr:rowOff>38100</xdr:rowOff>
    </xdr:from>
    <xdr:to>
      <xdr:col>10</xdr:col>
      <xdr:colOff>0</xdr:colOff>
      <xdr:row>154</xdr:row>
      <xdr:rowOff>196850</xdr:rowOff>
    </xdr:to>
    <xdr:sp macro="" textlink="">
      <xdr:nvSpPr>
        <xdr:cNvPr id="20" name="Frame 19">
          <a:extLst>
            <a:ext uri="{FF2B5EF4-FFF2-40B4-BE49-F238E27FC236}">
              <a16:creationId xmlns:a16="http://schemas.microsoft.com/office/drawing/2014/main" id="{F466FD04-2213-2444-89E8-B1FA3DAA714B}"/>
            </a:ext>
          </a:extLst>
        </xdr:cNvPr>
        <xdr:cNvSpPr/>
      </xdr:nvSpPr>
      <xdr:spPr>
        <a:xfrm>
          <a:off x="857250" y="31153100"/>
          <a:ext cx="6991350" cy="36195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516240</xdr:colOff>
      <xdr:row>152</xdr:row>
      <xdr:rowOff>35600</xdr:rowOff>
    </xdr:from>
    <xdr:to>
      <xdr:col>1</xdr:col>
      <xdr:colOff>101140</xdr:colOff>
      <xdr:row>159</xdr:row>
      <xdr:rowOff>62920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08ECDE31-4F61-0733-3256-6260F434AF82}"/>
                </a:ext>
              </a:extLst>
            </xdr14:cNvPr>
            <xdr14:cNvContentPartPr/>
          </xdr14:nvContentPartPr>
          <xdr14:nvPr macro=""/>
          <xdr14:xfrm>
            <a:off x="516240" y="30947400"/>
            <a:ext cx="410400" cy="14497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08ECDE31-4F61-0733-3256-6260F434AF8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11924" y="30943080"/>
              <a:ext cx="419032" cy="145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307920</xdr:colOff>
      <xdr:row>152</xdr:row>
      <xdr:rowOff>25520</xdr:rowOff>
    </xdr:from>
    <xdr:to>
      <xdr:col>10</xdr:col>
      <xdr:colOff>500880</xdr:colOff>
      <xdr:row>155</xdr:row>
      <xdr:rowOff>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D63CA7E-D847-0FEC-A5C3-46D2B69051B9}"/>
                </a:ext>
              </a:extLst>
            </xdr14:cNvPr>
            <xdr14:cNvContentPartPr/>
          </xdr14:nvContentPartPr>
          <xdr14:nvPr macro=""/>
          <xdr14:xfrm>
            <a:off x="8156520" y="30937320"/>
            <a:ext cx="192960" cy="621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D63CA7E-D847-0FEC-A5C3-46D2B69051B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152200" y="30933000"/>
              <a:ext cx="201600" cy="630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495300</xdr:colOff>
      <xdr:row>89</xdr:row>
      <xdr:rowOff>95250</xdr:rowOff>
    </xdr:from>
    <xdr:to>
      <xdr:col>11</xdr:col>
      <xdr:colOff>800100</xdr:colOff>
      <xdr:row>92</xdr:row>
      <xdr:rowOff>82550</xdr:rowOff>
    </xdr:to>
    <xdr:sp macro="" textlink="">
      <xdr:nvSpPr>
        <xdr:cNvPr id="27" name="Frame 26">
          <a:extLst>
            <a:ext uri="{FF2B5EF4-FFF2-40B4-BE49-F238E27FC236}">
              <a16:creationId xmlns:a16="http://schemas.microsoft.com/office/drawing/2014/main" id="{52400A47-9210-5643-A200-8CAE978E69E1}"/>
            </a:ext>
          </a:extLst>
        </xdr:cNvPr>
        <xdr:cNvSpPr/>
      </xdr:nvSpPr>
      <xdr:spPr>
        <a:xfrm>
          <a:off x="5867400" y="18205450"/>
          <a:ext cx="3606800" cy="59690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488950</xdr:colOff>
      <xdr:row>92</xdr:row>
      <xdr:rowOff>88900</xdr:rowOff>
    </xdr:from>
    <xdr:to>
      <xdr:col>11</xdr:col>
      <xdr:colOff>793750</xdr:colOff>
      <xdr:row>95</xdr:row>
      <xdr:rowOff>76200</xdr:rowOff>
    </xdr:to>
    <xdr:sp macro="" textlink="">
      <xdr:nvSpPr>
        <xdr:cNvPr id="28" name="Frame 27">
          <a:extLst>
            <a:ext uri="{FF2B5EF4-FFF2-40B4-BE49-F238E27FC236}">
              <a16:creationId xmlns:a16="http://schemas.microsoft.com/office/drawing/2014/main" id="{E78CC9DD-5387-2042-AB76-2CE6F9FDCAA1}"/>
            </a:ext>
          </a:extLst>
        </xdr:cNvPr>
        <xdr:cNvSpPr/>
      </xdr:nvSpPr>
      <xdr:spPr>
        <a:xfrm>
          <a:off x="5861050" y="18808700"/>
          <a:ext cx="3606800" cy="596900"/>
        </a:xfrm>
        <a:prstGeom prst="frame">
          <a:avLst>
            <a:gd name="adj1" fmla="val 434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14</xdr:row>
      <xdr:rowOff>0</xdr:rowOff>
    </xdr:from>
    <xdr:to>
      <xdr:col>6</xdr:col>
      <xdr:colOff>819150</xdr:colOff>
      <xdr:row>24</xdr:row>
      <xdr:rowOff>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62A5C025-56D6-D198-CFF9-9FEFC663210A}"/>
            </a:ext>
          </a:extLst>
        </xdr:cNvPr>
        <xdr:cNvSpPr/>
      </xdr:nvSpPr>
      <xdr:spPr>
        <a:xfrm>
          <a:off x="812800" y="2870200"/>
          <a:ext cx="4959350" cy="2032000"/>
        </a:xfrm>
        <a:prstGeom prst="frame">
          <a:avLst>
            <a:gd name="adj1" fmla="val 218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495300</xdr:colOff>
      <xdr:row>17</xdr:row>
      <xdr:rowOff>50800</xdr:rowOff>
    </xdr:from>
    <xdr:to>
      <xdr:col>6</xdr:col>
      <xdr:colOff>400050</xdr:colOff>
      <xdr:row>23</xdr:row>
      <xdr:rowOff>44450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9FB9EBF0-AD02-554B-9E96-B54A36575AD4}"/>
            </a:ext>
          </a:extLst>
        </xdr:cNvPr>
        <xdr:cNvSpPr/>
      </xdr:nvSpPr>
      <xdr:spPr>
        <a:xfrm>
          <a:off x="2146300" y="3530600"/>
          <a:ext cx="3206750" cy="1212850"/>
        </a:xfrm>
        <a:prstGeom prst="frame">
          <a:avLst>
            <a:gd name="adj1" fmla="val 218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737220</xdr:colOff>
      <xdr:row>14</xdr:row>
      <xdr:rowOff>191960</xdr:rowOff>
    </xdr:from>
    <xdr:to>
      <xdr:col>4</xdr:col>
      <xdr:colOff>538120</xdr:colOff>
      <xdr:row>18</xdr:row>
      <xdr:rowOff>102760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2BD04EF-2DFA-A96E-2729-739D6E9A6134}"/>
                </a:ext>
              </a:extLst>
            </xdr14:cNvPr>
            <xdr14:cNvContentPartPr/>
          </xdr14:nvContentPartPr>
          <xdr14:nvPr macro=""/>
          <xdr14:xfrm>
            <a:off x="3213720" y="3062160"/>
            <a:ext cx="626400" cy="7236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2BD04EF-2DFA-A96E-2729-739D6E9A613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07604" y="3056040"/>
              <a:ext cx="638633" cy="73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158640</xdr:colOff>
      <xdr:row>23</xdr:row>
      <xdr:rowOff>82520</xdr:rowOff>
    </xdr:from>
    <xdr:to>
      <xdr:col>10</xdr:col>
      <xdr:colOff>626640</xdr:colOff>
      <xdr:row>24</xdr:row>
      <xdr:rowOff>150400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4210CAD-1172-C462-161D-C17A10DC567E}"/>
                </a:ext>
              </a:extLst>
            </xdr14:cNvPr>
            <xdr14:cNvContentPartPr/>
          </xdr14:nvContentPartPr>
          <xdr14:nvPr macro=""/>
          <xdr14:xfrm>
            <a:off x="8540640" y="4781520"/>
            <a:ext cx="468000" cy="2710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4210CAD-1172-C462-161D-C17A10DC567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534515" y="4775400"/>
              <a:ext cx="480249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169100</xdr:colOff>
      <xdr:row>22</xdr:row>
      <xdr:rowOff>150000</xdr:rowOff>
    </xdr:from>
    <xdr:to>
      <xdr:col>9</xdr:col>
      <xdr:colOff>777860</xdr:colOff>
      <xdr:row>25</xdr:row>
      <xdr:rowOff>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4DF946E-FB7F-B2AC-14FA-D5B085164B3E}"/>
                </a:ext>
              </a:extLst>
            </xdr14:cNvPr>
            <xdr14:cNvContentPartPr/>
          </xdr14:nvContentPartPr>
          <xdr14:nvPr macro=""/>
          <xdr14:xfrm>
            <a:off x="7725600" y="4645800"/>
            <a:ext cx="608760" cy="461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4DF946E-FB7F-B2AC-14FA-D5B085164B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719480" y="4639680"/>
              <a:ext cx="621000" cy="474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1283040</xdr:colOff>
      <xdr:row>29</xdr:row>
      <xdr:rowOff>34240</xdr:rowOff>
    </xdr:from>
    <xdr:to>
      <xdr:col>5</xdr:col>
      <xdr:colOff>74500</xdr:colOff>
      <xdr:row>36</xdr:row>
      <xdr:rowOff>100440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E86E309-1E81-059C-49F6-A4A0435F9E09}"/>
                </a:ext>
              </a:extLst>
            </xdr14:cNvPr>
            <xdr14:cNvContentPartPr/>
          </xdr14:nvContentPartPr>
          <xdr14:nvPr macro=""/>
          <xdr14:xfrm>
            <a:off x="5397840" y="5927040"/>
            <a:ext cx="302760" cy="1488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E86E309-1E81-059C-49F6-A4A0435F9E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93520" y="5922721"/>
              <a:ext cx="311400" cy="14972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858880</xdr:colOff>
      <xdr:row>28</xdr:row>
      <xdr:rowOff>175880</xdr:rowOff>
    </xdr:from>
    <xdr:to>
      <xdr:col>7</xdr:col>
      <xdr:colOff>83960</xdr:colOff>
      <xdr:row>32</xdr:row>
      <xdr:rowOff>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4BA653E-913C-5861-7306-352CE1B991A0}"/>
                </a:ext>
              </a:extLst>
            </xdr14:cNvPr>
            <xdr14:cNvContentPartPr/>
          </xdr14:nvContentPartPr>
          <xdr14:nvPr macro=""/>
          <xdr14:xfrm>
            <a:off x="7361280" y="5865480"/>
            <a:ext cx="164880" cy="6429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4BA653E-913C-5861-7306-352CE1B991A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356960" y="5861160"/>
              <a:ext cx="173520" cy="65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938080</xdr:colOff>
      <xdr:row>31</xdr:row>
      <xdr:rowOff>55160</xdr:rowOff>
    </xdr:from>
    <xdr:to>
      <xdr:col>7</xdr:col>
      <xdr:colOff>235520</xdr:colOff>
      <xdr:row>34</xdr:row>
      <xdr:rowOff>143600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9BF30E8-C277-9FC1-4DD3-518F85C2BE22}"/>
                </a:ext>
              </a:extLst>
            </xdr14:cNvPr>
            <xdr14:cNvContentPartPr/>
          </xdr14:nvContentPartPr>
          <xdr14:nvPr macro=""/>
          <xdr14:xfrm>
            <a:off x="7440480" y="6354360"/>
            <a:ext cx="237240" cy="6980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9BF30E8-C277-9FC1-4DD3-518F85C2BE2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436160" y="6350040"/>
              <a:ext cx="245880" cy="70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777160</xdr:colOff>
      <xdr:row>32</xdr:row>
      <xdr:rowOff>88480</xdr:rowOff>
    </xdr:from>
    <xdr:to>
      <xdr:col>7</xdr:col>
      <xdr:colOff>121400</xdr:colOff>
      <xdr:row>37</xdr:row>
      <xdr:rowOff>48080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6FBA76F-90A4-4A9C-F20C-F1AD4EBA39E5}"/>
                </a:ext>
              </a:extLst>
            </xdr14:cNvPr>
            <xdr14:cNvContentPartPr/>
          </xdr14:nvContentPartPr>
          <xdr14:nvPr macro=""/>
          <xdr14:xfrm>
            <a:off x="7279560" y="6590880"/>
            <a:ext cx="284040" cy="9756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6FBA76F-90A4-4A9C-F20C-F1AD4EBA39E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275240" y="6586560"/>
              <a:ext cx="292680" cy="9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929140</xdr:colOff>
      <xdr:row>49</xdr:row>
      <xdr:rowOff>3680</xdr:rowOff>
    </xdr:from>
    <xdr:to>
      <xdr:col>6</xdr:col>
      <xdr:colOff>17500</xdr:colOff>
      <xdr:row>61</xdr:row>
      <xdr:rowOff>72680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E0D1861-6BC4-A98A-C286-9A5E814DF686}"/>
                </a:ext>
              </a:extLst>
            </xdr14:cNvPr>
            <xdr14:cNvContentPartPr/>
          </xdr14:nvContentPartPr>
          <xdr14:nvPr macro=""/>
          <xdr14:xfrm>
            <a:off x="1754640" y="9960480"/>
            <a:ext cx="4955760" cy="25074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FE0D1861-6BC4-A98A-C286-9A5E814DF68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748520" y="9954359"/>
              <a:ext cx="4967999" cy="251964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1456834</xdr:colOff>
      <xdr:row>70</xdr:row>
      <xdr:rowOff>142499</xdr:rowOff>
    </xdr:from>
    <xdr:to>
      <xdr:col>9</xdr:col>
      <xdr:colOff>33234</xdr:colOff>
      <xdr:row>78</xdr:row>
      <xdr:rowOff>42008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CAB065-FE1D-DFA7-B4CB-1DAEB0891D0E}"/>
                </a:ext>
              </a:extLst>
            </xdr14:cNvPr>
            <xdr14:cNvContentPartPr/>
          </xdr14:nvContentPartPr>
          <xdr14:nvPr macro=""/>
          <xdr14:xfrm>
            <a:off x="7245360" y="14272920"/>
            <a:ext cx="5180400" cy="1503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CAB065-FE1D-DFA7-B4CB-1DAEB0891D0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241040" y="14268600"/>
              <a:ext cx="5189040" cy="151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227034</xdr:colOff>
      <xdr:row>71</xdr:row>
      <xdr:rowOff>111173</xdr:rowOff>
    </xdr:from>
    <xdr:to>
      <xdr:col>9</xdr:col>
      <xdr:colOff>1613314</xdr:colOff>
      <xdr:row>77</xdr:row>
      <xdr:rowOff>116535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79B79B7-2C95-CE5B-FF40-5CF9331C8A04}"/>
                </a:ext>
              </a:extLst>
            </xdr14:cNvPr>
            <xdr14:cNvContentPartPr/>
          </xdr14:nvContentPartPr>
          <xdr14:nvPr macro=""/>
          <xdr14:xfrm>
            <a:off x="7666560" y="14442120"/>
            <a:ext cx="4688280" cy="12085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79B79B7-2C95-CE5B-FF40-5CF9331C8A0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62240" y="14437800"/>
              <a:ext cx="4696920" cy="121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1155474</xdr:colOff>
      <xdr:row>73</xdr:row>
      <xdr:rowOff>115120</xdr:rowOff>
    </xdr:from>
    <xdr:to>
      <xdr:col>9</xdr:col>
      <xdr:colOff>1210114</xdr:colOff>
      <xdr:row>75</xdr:row>
      <xdr:rowOff>53187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663CF33-1D73-8A28-1C60-5F0EB97997C2}"/>
                </a:ext>
              </a:extLst>
            </xdr14:cNvPr>
            <xdr14:cNvContentPartPr/>
          </xdr14:nvContentPartPr>
          <xdr14:nvPr macro=""/>
          <xdr14:xfrm>
            <a:off x="8595000" y="14847120"/>
            <a:ext cx="3356640" cy="3391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663CF33-1D73-8A28-1C60-5F0EB97997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590680" y="14842800"/>
              <a:ext cx="3365279" cy="34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870354</xdr:colOff>
      <xdr:row>80</xdr:row>
      <xdr:rowOff>72956</xdr:rowOff>
    </xdr:from>
    <xdr:to>
      <xdr:col>8</xdr:col>
      <xdr:colOff>932594</xdr:colOff>
      <xdr:row>89</xdr:row>
      <xdr:rowOff>154162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C4FF809-EC7B-25B9-D8AE-99FB2B4310CA}"/>
                </a:ext>
              </a:extLst>
            </xdr14:cNvPr>
            <xdr14:cNvContentPartPr/>
          </xdr14:nvContentPartPr>
          <xdr14:nvPr macro=""/>
          <xdr14:xfrm>
            <a:off x="8309880" y="16208640"/>
            <a:ext cx="1713240" cy="19126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C4FF809-EC7B-25B9-D8AE-99FB2B4310C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305560" y="16204320"/>
              <a:ext cx="1721880" cy="19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389034</xdr:colOff>
      <xdr:row>92</xdr:row>
      <xdr:rowOff>57712</xdr:rowOff>
    </xdr:from>
    <xdr:to>
      <xdr:col>8</xdr:col>
      <xdr:colOff>1540634</xdr:colOff>
      <xdr:row>101</xdr:row>
      <xdr:rowOff>185358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233542B6-696C-CFC2-E04F-3002A2E657C6}"/>
                </a:ext>
              </a:extLst>
            </xdr14:cNvPr>
            <xdr14:cNvContentPartPr/>
          </xdr14:nvContentPartPr>
          <xdr14:nvPr macro=""/>
          <xdr14:xfrm>
            <a:off x="7828560" y="18613080"/>
            <a:ext cx="2802600" cy="19591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233542B6-696C-CFC2-E04F-3002A2E657C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824240" y="18608760"/>
              <a:ext cx="2811240" cy="1967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9:00.97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1 379 24575,'4'2'0,"0"18"0,4 3 0,2 32 0,1 18 0,-6-8 0,-1 5 0,-1-4 0,-2 1 0,-2 12 0,-2-2 0,-2-21 0,0-4 0,-1 31 0,-3-39 0,9-14 0,0-22 0,0 0 0,0 0 0,2-4 0,0 1 0,27 2 0,53 18 0,0-7 0,-15-4 0,16 0 0,-15-5 0,10 1 0,8-1 0,4 0 0,4 0-869,-5-2 0,5-2 0,4 1 0,4-1 0,1 0 1,1 1-1,0 0 869,-15 0 0,2 1 0,1 0 0,1 0 0,1 0 0,0 0 0,1 0 0,-1-1 0,1 0 0,4-1 0,1 0 0,2 0 0,1-1 0,-1 0 0,-2 0 0,-2-1 0,-3 1 0,-4-1 0,15 0 0,-3 1 0,-4-1 0,-3-1 0,-5 0 0,-3 1 0,9-1 0,-5 0 0,-6-1 0,-6 0 0,-5-1 0,-5 0 0,-14 0 0,5 5 0,-11 4 0,5 3 0,27 11 0,5 2 0,-10-6 0,7 1 0,-12-2 0,9 3 0,0-1 0,-8-4-335,11 0 1,0-4 334,-15-2 0,7 0 0,3 0 0,-3-3 0,15-2 0,-1-2 0,5-1 0,-18 0 0,4 0 0,2 1 0,1-1 0,0-1 395,0 0 0,0-1 0,1 0 1,0 1-1,2 0-395,6 2 0,2 1 0,1 0 0,-2 1 0,-1 0 0,-7 0 0,0 0 0,-2 0 0,-2 1 0,-4 0-351,3 1 0,-4 0 1,-1 1-1,0 2 351,4 4 0,1 3 0,-1 0 0,-7-2 0,-3-4 0,-5-1 0,5 2 0,5 6 0,5 2 0,4 1 0,4-5 0,-4-6 0,5-4 0,2-1 0,0-1 0,-1 2 0,-1 1 0,-1 2 0,1 0 0,-1-1 0,0-1 0,-1-3 0,1 0 0,-1-2 0,-2-1 0,-5-2 0,26-2 0,-6-4 0,-12-2 0,-14-3 0,-7-2 0,1 1 0,-5-2 697,24-26-697,-30 17 0,-4 6 0,7 0 0,19 1 0,11 1 431,-13 4 1,9 2-1,5-1 1,-2 1-432,1-1 0,0 1 0,2 0 0,6-2 0,-14 2 0,6-1 0,3-1 0,0 0 0,-3 0 0,-4-1 0,15-2 0,-4-2 0,-4 1 0,-4 1 504,11-1 0,-5 1 0,-12-1-504,-6-4 0,-25 6 0,-45 14 0,-3-2 0,0 2 0,2 0 2100,-2-6-2100,5-1 143,5-8-143,35-41 0,-6-7 0,8-18 0,-1-8 0,-18 17 0,-4 0 0,11-13 0,-5 3 0,-19 27 0,-5 8 0,0-2 0,-16 23 0,-4 11 0,-8 3 0,-6-6 0,-3 1 0,6 3 0,-2-1 0,8 2 0,-1-2 0,1 2 0,9 3 0,0 6 0,0-2 0,-2 5 0,-6-4 0,3 3 0,-1-1 0,4 1 0,-2 4 0,1 0 0,3 2 0,1 4 0,-6 21 0,-8 20 0,6 0 0,-4-8 0,17-25 0,-10 4 0,6-11 0,-4 9 0,21-48 0,24-30 0,12-14 0,-12 17 0,1-4 0,4-2 0,1 2 0,5-4 0,-1 0 0,-3 5 0,0-1 0,-2 4 0,-2 4 0,15-12 0,-9 13 0,-14 16 0,-14 24 0,-13 11 0,-3 8 0,2 2 0,1 8 0,1 34 0,5 32 0,-4-34 0,0 4 0,0 21 0,0 3 0,-2-3 0,-1 0 0,-5 7 0,-2 0 0,3-6 0,-2-7 0,-6 7 0,8-29 0,0-40 0,0 0 0,0 0 0,0-2 0,0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0T16:43:35.848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147 0 24575,'0'4'0,"0"3"0,-9 11 0,-5 11 0,0 0 0,-2 0 0,11-13 0,-2-4 0,1 1 0,-1 0 0,0-3 0,2 1 0,-1 9 0,0-7 0,-3 12 0,4-13 0,-11 13 0,13-14 0,-9 7 0,12-16 0</inkml:trace>
  <inkml:trace contextRef="#ctx0" brushRef="#br0" timeOffset="1066">22 57 24575,'18'7'0,"-6"3"0,9 5 0,-5 7 0,-5-11 0,10 15 0,-5-12 0,-1 9 0,3-7 0,-12-4 0,2-2 0,1-4 0,-2 6 0,2-5 0,0 8 0,-4-9 0,-1 4 0,-2-8 0,-4 1 0,2-1 0,-2-2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0T16:43:40.46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195 0 24575,'-25'34'0,"-14"16"0,10-6 0,-12 7 0,21-22 0,4-12 0,12-11 0,-3 3 0,2-2 0,-1 2 0,5-7 0,0 0 0</inkml:trace>
  <inkml:trace contextRef="#ctx0" brushRef="#br0" timeOffset="734">18 6 24575,'4'16'0,"9"4"0,1 6 0,10 4 0,-6-2 0,2 0 0,-1-2 0,-4-2 0,-3-8 0,-1-4 0,1 4 0,-3-5 0,2 6 0,-8-10 0,-1-5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0T16:43:45.523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0 1162 17684,'12'-2'0,"5"1"3093,6-3-3093,11 3 1181,4-1-1181,-6 2 621,-6 0-621,-7-2 1996,-6 1-1996,7-1 0,-4 2 0,-3 0 0,5 0 0,-10 0 0,5 0 0,-7 0 0,7 0 0,0 2 0,1-1 0,5 7 0,1 1 0,1 1 0,17-2 0,3-6 0,5-2 0,0 0 0,6-3 0,18-4 0,-5 3 0,33-11 0,-12 7 0,12-3 0,-35 6 0,0 0 0,32 5 0,-32-5 0,2-2 0,5-1 0,2-1 0,3-1 0,0-2 0,0 1 0,1-2 0,13-4 0,0-1 0,-15 3 0,-3-1 0,4-1 0,-2 0 0,-12 5 0,-3 1 0,33-2 0,-28 5 0,-8-1 0,5-2 0,-2-1 0,0 0 0,8-3 0,1 0 0,3 0 0,1 2 0,-1 2 0,-2 1 0,-4 2 0,-1 0 0,-1 2 0,-2 1 0,38-3 0,-18-6 0,-17 0 0,9-5 0,-4 1 0,5-3 0,2-2 0,16-3 0,11-2 0,-10 1 0,-13 2 0,-7 3 0,2 3 0,-6 2 0,13-3 0,-42 15 0,-9 4 0,43-5 0,-20 0 0,4-3 0,15-3 0,3-4 0,4-6 0,-4 0 0,-20 5 0,-7 1 0,11-12 0,-34 15 0,28-6 0,-9-1 0,13 3 0,5 0 0,22-7 0,-31 11 0,1 0 0,3-5 0,-3 1 0,17-3 0,-6-7 0,-34 17 0,-23 6 0,8 1 0,-9 1 0,0 0 0,-5 0 0,0-1 0,8-4 0,17-4 0,-3 1 0,5-5 0,-16 10 0,-8 0 0,-3 3 0</inkml:trace>
  <inkml:trace contextRef="#ctx0" brushRef="#br0" timeOffset="1200">5788 143 24575,'19'12'0,"7"6"0,18 22 0,18 9 0,-9 1 0,6-6 0,-10-14 0,-13-9 0,4-5 0,-9-1 0,44 4 0,-5-1 0,-18-8 0,0-1 0,13 4 0,-22 1 0,-15-6 0,-12 4 0,8-3 0,-7-2 0,-1 2 0,16-1 0,-7 10 0,11-7 0,-15 8 0,-7-11 0,-3 2 0,-5-5 0,-2-1 0,-2-4 0</inkml:trace>
  <inkml:trace contextRef="#ctx0" brushRef="#br0" timeOffset="2458">6300 413 24575,'11'6'0,"18"18"0,23 55 0,-17-28 0,2 3 0,4 14 0,0 3 0,-2-4 0,-1-4 0,16 19 0,-7-10 0,-13-16 0,-5 3 0,1 9 0,-4-8 0,-11-21 0,-4-13 0,-2-14 0,-1-9 0,7 0 0,-7 3 0,7-3 0,-12 3 0,1-6 0,-6 4 0,-5-3 0,4 1 0,-1-2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0T16:43:57.148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0 11 24575,'35'-3'0,"1"-1"0,-20 3 0,1-1 0,-2 2 0,-4 0 0,-2 2 0,2-2 0,-3 2 0,-3 0 0,1 2 0,9 8 0,-7 4 0,12 2 0,-15 2 0,-3-3 0,-1-2 0,-12 12 0,2-11 0,-10 16 0,6-19 0,-1 2 0,8-13 0,-3 2 0,3-4 0,-1 2 0,1-4 0,-5 2 0,1-2 0,0 4 0,6-2 0,12 2 0,13-2 0,-2 2 0,15 4 0,-16-1 0,19 10 0,-21-6 0,8 10 0,-12-7 0,-7 2 0,1 4 0,-6-1 0,-2 0 0,-1 9 0,1-16 0,-3 6 0,1-8 0,-8 4 0,-7 6 0,-10 4 0,10-10 0,-7-1 0,11-10 0,-11-1 0,9-1 0,-5-1 0,17 2 0,-5-4 0,3 3 0,-7-3 0,6 4 0,-1 0 0,7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0T16:44:01.070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96 1 24575,'4'2'0,"-2"7"0,0 15 0,-2-4 0,0 21 0,2-13 0,-1 15 0,5-4 0,-5-4 0,3-1 0,-4-11 0,-2-3 0,2-10 0,-2-7 0</inkml:trace>
  <inkml:trace contextRef="#ctx0" brushRef="#br0" timeOffset="2711">22 470 24575,'-2'13'0,"-1"14"0,-2 6 0,4 26 0,-4-19 0,5 6 0,-2-28 0,1 2 0,-1-8 0,4-6 0,-2-2 0,2-4 0,-2 2 0</inkml:trace>
  <inkml:trace contextRef="#ctx0" brushRef="#br0" timeOffset="5211">9 1069 24575,'4'15'0,"0"5"0,6 13 0,-7 2 0,4 9 0,-7-15 0,3-1 0,-1-12 0,2-9 0,-1 1 0,2-8 0,-4 4 0,1-4 0,-2 2 0</inkml:trace>
  <inkml:trace contextRef="#ctx0" brushRef="#br0" timeOffset="7981">659 1555 24575,'-5'5'0,"-51"29"0,6-11 0,-33 20 0,36-25 0,-1 0 0,19-5 0,-27 8 0,30-9 0,-4-1 0,13-9 0,-1 0 0,-12 4 0,0 2 0,-3 5 0,17-6 0,2 0 0</inkml:trace>
  <inkml:trace contextRef="#ctx0" brushRef="#br0" timeOffset="8895">274 1500 24575,'52'23'0,"-9"4"0,-9 1 0,0 23 0,11 6 0,-14 2 0,2 2 0,-18-31 0,-6 2 0,4-20 0,-7 1 0,0-7 0,-4 2 0,0-6 0,-2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0T16:44:26.11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37 24575,'9'0'0,"5"-8"0,5 4 0,16-10 0,-7 8 0,26 3 0,-17 1 0,22 10 0,-17 1 0,-2-2 0,-7 2 0,-19-7 0,-2 12 0,-11-3 0,-8 24 0,3-16 0,-14 24 0,2-17 0,-1 3 0,0-11 0,5-5 0,-7-2 0,-2 6 0,2-8 0,6 0 0,10-7 0,-1-2 0,-19 20 0,2-4 0,-5 6 0,11-10 0,11-11 0,1-2 0,3-4 0,3 2 0,8-1 0,15 9 0,22 10 0,8 4 0,3 9 0,-20-14 0,-9 3 0,-13-18 0,1 5 0,-9-6 0,0 2 0,-3 2 0,-2-2 0,0-2 0,3-3 0,11-21 0,-10 8 0,15-14 0,-21 17 0,5 5 0,-7 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0T16:44:29.981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75 7 24575,'5'-2'0,"5"0"0,-2 2 0,10-2 0,-9 3 0,9-1 0,-4 2 0,12 2 0,-3-3 0,4 7 0,-6 3 0,-5 7 0,-7 19 0,-42 53 0,24-42 0,-17-1 0,-2-7 0,14-27 0,-15 7 0,6-8 0,-3 6 0,-3-7 0,3 6 0,5-12 0,11-3 0,6-8 0,18-11 0,-3 3 0,17-9 0,-5 14 0,3 0 0,4 4 0,-4 4 0,-1-1 0,-4 4 0,-5-1 0,-4 1 0,2-2 0,-7 0 0,3 0 0,9 0 0,-1 0 0,1 0 0,-2 0 0,-13 0 0,4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0T16:44:15.86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276 1088 24575,'-5'16'0,"-18"32"0,-6 7 0,-16 27 0,12-11 0,10-31 0,12-15 0,6-20 0,1 1 0,2-3 0,2-2 0</inkml:trace>
  <inkml:trace contextRef="#ctx0" brushRef="#br0" timeOffset="534">48 1149 24575,'64'17'0,"8"31"0,-23 9 0,-4 11 0,-25-16 0,-9-20 0,-6-8 0,0-11 0,-5-8 0,-2-1 0,1-2 0,-1 0 0</inkml:trace>
  <inkml:trace contextRef="#ctx0" brushRef="#br0" timeOffset="1400">276 1715 24575,'-2'-2'0,"0"2"0,-8 12 0,-3 10 0,-15 18 0,13-13 0,-10 8 0,17-21 0,-10 13 0,9-14 0,-3 4 0,8-15 0,0 0 0,-1-2 0,0 0 0,3 0 0</inkml:trace>
  <inkml:trace contextRef="#ctx0" brushRef="#br0" timeOffset="1917">76 1749 12874,'15'0'0,"12"5"4630,5 8-4630,10 15 2033,-7 0-2033,0 19 1129,-21-27-1129,2 9 3909,-13-24-3909,7 4 0,-6-7 0,4 3 0,-8-3 0</inkml:trace>
  <inkml:trace contextRef="#ctx0" brushRef="#br0" timeOffset="2817">234 2257 24575,'-2'23'0,"-8"35"0,-9 5 0,4-5 0,0 0 0,-7 10 0,-3 17 0,15-59 0,0 2 0,-1-16 0,4-5 0,-7-12 0,8 3 0,-3-5 0</inkml:trace>
  <inkml:trace contextRef="#ctx0" brushRef="#br0" timeOffset="3384">1 2218 19098,'11'0'0,"8"5"2526,22 49-2526,-7-7 466,0 14 1,-2 7-467,-10-16 0,-1 0 242,13 9 1,-2-2-243,-2 14 1533,6-30-1533,-36-36 0,4-4 0,-6-4 0,0-1 0</inkml:trace>
  <inkml:trace contextRef="#ctx0" brushRef="#br0" timeOffset="18767">276 50 24575,'5'-2'0,"11"-3"0,5-1 0,6-1 0,6 4 0,-7-4 0,-5 3 0,0-1 0,-6 1 0,2 4 0,-5-4 0,-1 3 0,-2-1 0,-4 4 0,4 3 0,3 23 0,-4-4 0,2 24 0,-9-12 0,-4-5 0,-2-6 0,-2-13 0,2-2 0,-11 6 0,8-5 0,-15 13 0,-3 4 0,-5-1 0,-20 18 0,21-23 0,-4 2 0,22-18 0,1-7 0,6 1 0,-4-2 0,5 4 0,0-8 0,1-3 0,4-40 0,8 13 0,8-23 0,2 35 0,-1 8 0,-2 12 0,9 4 0,22 7 0,-3 1 0,19 8 0,-34-9 0,1 0 0,-21-5 0,-1 0 0,6 5 0,-1 5 0,8-1 0,-10 0 0,2-4 0,-5-9 0,4 3 0,12-13 0,-7 5 0,6-1 0,-13 3 0</inkml:trace>
  <inkml:trace contextRef="#ctx0" brushRef="#br0" timeOffset="24200">305 484 24575,'25'0'0,"12"5"0,-23-4 0,39 11 0,-32-8 0,17 4 0,-26-4 0,-8 1 0,2 5 0,0 6 0,2 14 0,-5 9 0,-32 32 0,4-20 0,-37 26 0,29-44 0,-1 1 0,21-24 0,10-8 0,3-6 0,11-3 0,10-8 0,14-1 0,5-1 0,0 1 0,-12 10 0,-9 2 0,-3 4 0,-2 2 0,17 19 0,5 8 0,-6 13 0,-7-4 0,-16-15 0,-9-9 0,-6-3 0,-11 2 0,-2 2 0,-4 2 0,7-12 0,8 0 0,1-7 0,2 2 0,0-4 0,-59 6 0,9 8 0,-16-4 0,34 5 0,36-13 0,1 2 0,2-2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6:20:45.939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1672 897 24575,'-14'-7'0,"-6"15"0,-22 16 0,-7 9 0,-2 11 0,-4 6 0,-2-4 0,-6 3 0,3 0 0,-8 13 0,0 1 0,10-8 0,-3 2 0,6-4 0,5-3 0,1 0 0,1 3 0,-4 5 0,3 0 0,5-5 0,3 1 0,0 0 0,2 5 0,0 1 0,2-2 0,-17 23 0,6-3 0,19-19 0,4 0 0,-2 3 0,0 3 0,-4 13 0,0 11 0,9-11 0,-1 11 0,1 1 0,1-5 0,1-3 0,1-3 0,2 6-207,5-8 1,0 6-1,2 4 1,2-3-1,4-6 207,5 14 0,5-7 0,0 0 0,-2 1 0,1-1 0,3-3 0,2-11 0,3-4 0,3-5-282,7 7 0,4-11 282,21 13 0,-12-21 0,7-2 0,6-15 0,3-4 0,-2 5 0,4-1 0,33 6 0,8-3 0,-2-5 0,4-3 0,-15-7 0,4-1 0,2-2-230,2-3 1,2-3-1,2-2 230,-15-2 0,2-3 0,1-1 0,1-3 0,2-6 0,2-2 0,0-3 0,-3 1 0,13 1 0,-3-1 0,3-5 0,-12-5 0,4-5 0,-3-2 0,-5 0 0,-3-3 0,-6 0 0,2-3 0,10-6 0,3-1 0,-8 0 0,1-2 0,-10 2 272,-18 9 0,-9 3-272,-3-3 0,-6-17 0,-2-20 0,-8 3 0,2-10 0,-4 12 0,0-4 0,1-2 0,2-9 0,1-1 0,0 0 580,-2 8 1,1 0 0,-2-2-581,0-9 0,0-3 0,-4 6 0,-3 1 0,-3-2-186,-3-6 1,0-9-1,-3 8 186,-3 4 0,-2 3 0,-1 11 0,-1-2 0,-1 4 0,2-4 0,-5-1 0,-8 5 0,-5-4 0,0 4 0,1-2 0,-3 1 0,-18-21 0,-6 3 0,7 26 0,-3 4 0,-7-3 0,-3 1 0,-2-4 0,-2 0 0,-2 7 0,-1 4 0,0 7 0,2 5 557,-24-15-557,18 24 0,3 4 0,12-2 0,-7 6 0,-8-1 0,-14-12 0,-2 1 0,11 9 0,0 1 0,-12-12 0,1 1 0,8 9 0,8 3 0,11-1 0,-37-11 0,62 27 0,2 2 0,-6 3 0,-32-4 0,11 5 0,-9-4 0,-4-1 0,-12-1 0,21 2 0,2 0 0,4-1 0,20 5 0,24 4 0,3 3 0,0-3 0,0 1 0</inkml:trace>
  <inkml:trace contextRef="#ctx0" brushRef="#br0" timeOffset="2415">6907 200 13588,'-72'16'0,"15"11"0,-3 5 2225,-2-3 0,-1 2-2225,-15 14 0,4 4 0,25-13 0,-1 4 0,-15 14 0,-8 9 0,3-3-735,-4 5 1,1 0 734,10-8 0,-2 4 0,2-5 822,-10 7 1,6-8-823,25-22 0,1-2 1496,-14 12 1,0 1-1497,8-7 0,0-2 0,5-3 0,-2-1 0,-12 9 0,-3-1 0,2-4 0,0-3 0,2-4 0,0 0 1684,-8 3 0,3-2-1684,-19 1 0,27-9 0,0 1 0,-24 8 0,5-2 0,-14 12 0,23-15 0,-10 11 0,28-18 0,14-4 0,11-1 0,-9 9 0,-11 7 0,-6 6 0,-4 9 0,-2 2 0,3-6 0,-1 2 0,-14 15 0,6-4 0,10-8 0,-22 24 0,9-1 0,13-6 0,10-19 0,-5 8 0,-6 16 0,-4 12 0,1-4 0,13-17 0,1-2 0,-4 5-208,-7 10 0,-6 6 1,-1 3-1,3-1 208,3-4 0,2-2 0,1 2 0,-1 5-660,3-1 1,0 4-1,-1 2 1,2 1-1,2-3 660,3-9 0,2-1 0,2 0 0,0 0 0,2 3 0,-1 5 0,0 4 0,3 0 0,3-4 0,5-6-162,3 5 0,7-7 1,4-1 161,1-2 0,4 0 0,6-1 0,10 4 0,7-1 0,2-4 0,5 7 0,7-1 0,3-7 0,8 2 0,4-6 0,0-14 0,5-6 0,10-1-1052,3-3 1,11 0 0,6-1 0,0-1 0,-5-4 1051,-3-1 0,-5-3 0,3-2 0,11-2 0,-3-5 0,8 1 0,6-2 0,4-2 0,3-2 0,-1-4 0,-3-4-402,-11-5 0,-1-4 0,1-3 1,0-2-1,1-2 0,1-1 0,1 1 1,2 1 401,1 1 0,1 1 0,2-1 0,2 0 0,0-1 0,0 0 0,0-2 0,0-1 0,-1-2-43,-9-1 1,1-1-1,1-1 1,-1-1-1,0-1 1,0-1-1,-2 0 1,-1-1-1,-2 0 1,-3 0 42,19-6 0,-2-1 0,-2 0 0,-2-1 0,-4-1 0,-5 1 0,-4-1 0,18-8 0,-7 0 0,-6-1 0,-6-3 37,5-8 0,-7-4 1,-10-3-38,-20 1 0,-7-3 0,-5 2 0,2-2 0,0-6 0,6-7 0,8-14 0,2-3 0,-6 4 571,0-5 1,-4 3 0,1-3-572,-4 12 0,3-1 0,-1-3 0,-3-4 0,-6 2 0,-1-7 0,-2 0 0,-3 4 0,-4 12 0,4-17 0,-4 1 0,-5 4 0,1-13 0,-3 1 0,-3 12 1700,-1-1 1,-5-2-1701,-4 6 0,-1-14 0,0-6 0,-2 2 0,0 13 0,-1 2 0,0 9 0,-4-10 0,-2 10 0,-1-12 0,-2-5 0,-1 1 0,0 9 0,-1 13 0,-5-13 0,-5 6 804,2 8 1,-4-7 0,-1-1 0,0 7-805,-14-20 0,-3 4 0,9 19 0,-2-2 0,0 4 110,-8-8 1,-1 5-111,0 8 0,-2 4 0,-3 4 0,0 3 0,9 10 0,-2 0 1593,-24-22 0,2 5-1593,4 11 0,13 8 0,1-2 1478,-18-17-1478,14 18 0,-6-2 0,-17-8 0,-3 0 88,15 11 1,-2 1-89,-23-8 0,7 6 0,18 11 0,-5-2 0,41 30 0,13 0 0,-6 5 0,-10 4 0,5 3 0,-23 14 0,11-4 0,-2 9 0,-23 42 0,14 0 0,-10 11 0,26-34 0,21-34 0,1-14 0,4 0 0,-1 0 0,1 0 0,2 1 0,0-1 0</inkml:trace>
  <inkml:trace contextRef="#ctx0" brushRef="#br0" timeOffset="5117">1494 2072 24575,'7'0'0,"14"2"0,3 6 0,15 7 0,-6 15 0,0-4 0,-13 0 0,-4-16 0,-7-6 0,3-9 0,14-8 0,11-17 0,31-33 0,-29 17 0,1-5 0,0 1 0,0 1 0,-6 2 0,-3 4 0,5-8 0,-14 24 0,-11 19 0,-2 2 0,-3 13 0,-5-4 0,3 1 0</inkml:trace>
  <inkml:trace contextRef="#ctx0" brushRef="#br0" timeOffset="6115">6012 2469 24575,'10'10'0,"13"48"0,-1 8 0,1 12 0,-8-15 0,0 3 0,1 2 0,5 8 0,2 1 0,-1-2 0,6 22 0,0-11 0,-6-34 0,0-9 0,18 10 0,9-83 0,16-31 0,8-15 0,-6 9 0,4-6 0,-18 16 0,6-7 0,-1 1 0,-6 4 0,-5 4 0,-4 3 0,-1 1 0,22-25 0,-7 6 0,-8-1 0,-15 26 0,-28 35 0,0 2 0,-4 5 0,-2 5 0</inkml:trace>
  <inkml:trace contextRef="#ctx0" brushRef="#br0" timeOffset="7399">3322 3429 24575,'-10'14'0,"-9"11"0,8-1 0,-12 10 0,9-5 0,-2-3 0,1-1 0,8-13 0,-3 9 0,1-5 0,2 2 0,1-5 0,6-10 0,0-2 0</inkml:trace>
  <inkml:trace contextRef="#ctx0" brushRef="#br0" timeOffset="8382">3175 3478 24575,'19'10'0,"1"3"0,30 19 0,-6-1 0,0 2 0,-10 4 0,-16-11 0,1 3 0,1-13 0,-4 1 0,1-9 0,-1 10 0,-8-12 0,2 5 0,-8-9 0,-2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6:34:29.31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4201 3208 24575,'-6'6'0,"0"1"0,-17 36 0,4 10 0,-4 2 0,7 13 0,9-47 0,11 6 0,2-23 0,17-3 0,14 5 0,3-2 0,1 1 0,-4-5 0,-22-1 0,20-10 0,-19 4 0,11-9 0,-16 8 0,0-3 0,-5-7 0,-5-12 0,-12-35 0,-8 13 0,-2 0 0,-11-26 0,-11-7 0,21 57 0,8 15 0,-5 4 0,7 7 0,1 2 0,4-1 0,1 6 0,-6 18 0,5-4 0,-5 26 0,9-17 0,6 20 0,1-23 0,4 3 0,1-19 0,5 6 0,3 1 0,-1 8 0,4 12 0,-7-15 0,0 5 0,0-17 0,-3-7 0,-1 0 0,-2-4 0,-5-7 0,0-8 0,-2-8 0,-7-10 0,5 11 0,-7 3 0,9 16 0,-2 6 0,2 1 0</inkml:trace>
  <inkml:trace contextRef="#ctx0" brushRef="#br0" timeOffset="967">4421 3150 24575,'1'-3'0,"76"-17"0,-19 3 0,10-4 0,6-4-1113,-8 1 0,5-2 0,4-3 0,5-2 0,5-1 1113,-7 3 0,6-3 0,4-1 0,3-2 0,2 0 0,-1 0 0,-1 0 0,-3 0-490,5-2 0,-2 0 0,0-1 0,-1 1 1,1-1-1,1-1 0,4-1 490,-10 4 0,5-2 0,2-2 0,0 1 0,1-1 0,-2 1 0,-2 1 0,-5 1 0,-4 3 0,5-2 0,-4 2 0,-4 1 0,-3 1 0,0 0 0,0-1 0,12-7 0,2-2 0,-4 1 0,-5 3 0,-10 6 893,16-7 1,-12 7-894,-12 1 0,-20 14 0,-38 19 0,-4 1 0,0 1 0</inkml:trace>
  <inkml:trace contextRef="#ctx0" brushRef="#br0" timeOffset="2184">4755 3452 24575,'23'20'0,"9"13"0,43 25 0,-24-13 0,2 1 0,-4-9 0,2 2 0,25 21 0,-1 2 0,-28-23 0,1-1 0,1 0 0,4 3 0,5 3-775,12 8 1,7 7 0,3 0 0,-1-2 774,-2-5 0,0-2 0,1 0 0,4 3 0,-4-1 0,5 4 0,0 0 0,-2-3 0,-6-6 0,14 5 0,-6-7 0,-9-5 0,-3 0 0,-11-9 0,-7-7 0,-31-5 0,13 8 0,-8 9 0,-14-19 0,-3 2 0,-10-17 0</inkml:trace>
  <inkml:trace contextRef="#ctx0" brushRef="#br0" timeOffset="3117">4377 3742 24575,'2'4'0,"-34"91"0,3-36 0,-3 5 0,-2 19 0,-4 10 0,6-22 0,-4 7 0,-2 3 0,-1 1-1187,3-7 1,-1 2-1,0 1 1,-1 1 0,0 0 1186,-2 7 0,0 1 0,0 1 0,0 0 0,-2-1 0,-4 3 0,-1 1 0,-1 0 0,2-5 0,5-6 0,-5 11 0,5-8 0,2-8 878,-5 3 0,6-11-878,3 0 957,25-45-957,5-8 0,1-5 0,2-4 0,0-3 0,0-2 0</inkml:trace>
  <inkml:trace contextRef="#ctx0" brushRef="#br0" timeOffset="4284">3813 3586 24575,'-34'-16'0,"-33"-22"0,10 14 0,-10-1 0,-1-1-1027,9 0 1,0-1 0,-12-1 1026,-3 2 0,-12-2 0,-8-1 0,-6 0 0,-1 0 0,0 2-833,14 5 1,-4 0 0,-1 0 0,-3 1 0,1 1 0,1-1 0,1 1 0,4-1 832,-11-3 0,4 0 0,2-1 0,-1 2 0,-3 0 0,-5 2 0,11 5 0,-9-1 0,-4 1 0,-3 1 0,1 0 0,4 2 0,8 1 0,11 3 0,14 1 625,-34 1 1,11 4-626,10 0 0,-11 1 0,5 0 0,21 2 0,0 1 0,55 5 0,10-6 0,2 2 0</inkml:trace>
  <inkml:trace contextRef="#ctx0" brushRef="#br0" timeOffset="5685">4044 2893 24575,'-2'-15'0,"-12"-23"0,-3-29 0,3 5 0,-1-14 0,-1-3-1230,-1-1 0,1-3 0,-2-7 1230,0 1 0,0-6 0,-3-4 0,-2-6-249,4 26 1,-2-5 0,-2-4-1,0 0 1,-1 0 0,1 1-1,1 5 249,-5-15 0,1 4 0,1 1 0,-1 0 0,-1-2 0,3 7 0,-1-3 0,0-2 0,0 4 0,1 5 0,3 9 0,-7-15 0,3 10 0,4 14 1205,-1-18-1205,14 65 0,7 16 0,3 6 0,-2-2 0,0 0 0</inkml:trace>
  <inkml:trace contextRef="#ctx0" brushRef="#br0" timeOffset="6867">4485 2817 24575,'0'-6'0,"16"-35"0,7-13 0,0 3 0,2-6 0,8-19 0,5-12 0,4-4-1359,-2 8 1,4-3 0,0-2 0,-1 2 1358,-5 10 0,-2 2 0,1 0 0,2-5 0,3-3 0,3-6 0,1-1 0,-1 4 0,-5 8 0,2-1 0,-4 7 0,0-1 542,6-11 1,1-2 0,-7 13-543,-11 18 0,-4 9 880,8-16-880,-23 39 0,4-11 0,3-1 2925,8-35-2925,-11 40 0,3-16 0,-11 40 0,0 0 0,-1 10 0,-1-3 0,-2 3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6:34:56.13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132 3311 24575,'5'10'0,"0"-1"0,2 10 0,3 8 0,1 0 0,10 15 0,2-10 0,9-5 0,-9-5 0,-4-17 0,-6 2 0,-7-4 0,3-3 0,-9-3 0,0-1 0,-2-17 0,2-5 0,0-42 0,0 11 0,0-4 0,0 31 0,-2 20 0,-3 2 0,-2-2 0,-1-8 0,-1-10 0,5 12 0,-9 0 0,-6 14 0,-6 7 0,-16 8 0,-20 33 0,10-11 0,3 10 0,28-28 0,19-11 0,3 5 0,8 2 0,14 4 0,-3-5 0,0-5 0,-10-5 0,2-2 0,-7 0 0,13-2 0,-11-1 0,9-1 0,-7 1 0,-1 5 0,-5-1 0,-4 3 0</inkml:trace>
  <inkml:trace contextRef="#ctx0" brushRef="#br0" timeOffset="1833">294 3486 24575,'6'0'0,"16"0"0,19-3 0,31-3 0,17-6 0,-21 0 0,11-3 0,-1 0 0,8 0 0,7-2-1655,-14 4 0,6 0 0,4-1 0,-2 0 0,-6 1 1655,-2 0 0,-5-1 0,0 2 0,4-1 0,3 2 0,7 0 0,-1 1 0,-7 1 0,-15 2 843,-8 2 0,-7 1-843,14 0 0,-7 3 0,-18 1 0,-33 2 0,1-2 0,13 4 6589,21 0-6589,9 1 0,28-3 0,-40-2 0,13 2 0,-42-2 0,1 0 0,-10 2 0,-4-6 0,-3 1 0,-28-11 0,0-14 0,-11 5 0,8-10 0,23 23 0,-7-1 0,11 10 0,-5 1 0,6 0 0,4 2 0,5-4 0,22 2 0,16 6 0,6 1 0,33 23 0,-1 18 0,-12-11 0,-1 9 0,-54-37 0,-32 26 0,7-20 0,-50 36 0,28-23 0,-40 22 0,17-14 0,11-4 0,21-15 0,25-13 0,7 0 0,-1-1 0,1-1 0</inkml:trace>
  <inkml:trace contextRef="#ctx0" brushRef="#br0" timeOffset="2783">3333 3167 24575,'-10'7'0,"-8"12"0,-19 24 0,8-5 0,-1 15 0,26-19 0,18 7 0,10-18 0,7-3 0,-10-17 0,-9-2 0,-10-4 0,-2-1 0,-5-13 0,2-2 0,-22-23 0,15 12 0,-12 3 0,16 16 0,-2 11 0,3 2 0,1-2 0,4 2 0</inkml:trace>
  <inkml:trace contextRef="#ctx0" brushRef="#br0" timeOffset="4250">3514 3265 24575,'4'-2'0,"1"2"0,40 14 0,-6-2 0,28 10 0,-3-12 0,16-1 0,4-1-519,-12-2 0,4-2 0,3 1 0,6-1 519,-7-1 0,7 1 0,3-1 0,1 0 0,-1-1 0,-5 0 0,19-1 0,-3-1 0,-2-1 0,1-2 0,6-3 0,4-1 0,-7-2 0,-16 0 180,-10-1 0,-8-3-180,15-6 0,-10-1 0,-21-4 0,-4-2 0,-15 9 0,-14 7 1566,-16 8-1566,-2 2 150,-6 2-150,1-2 0,-15 2 0,1-4 0,-25-6 0,4 4 0,3-7 0,14 10 0,15-3 0,0 4 0,6 0 0,8 0 0,28 5 0,16 10 0,32 5 0,-31 4 0,0-8 0,-43 48 0,-13-7 0,-10 7 0,-3 4 0,-5 13 0,-7-22 0,0-3 0,10 1 0,-13-3 0,27-31 0,18-37 0,-6 9 0,11-13 0</inkml:trace>
  <inkml:trace contextRef="#ctx0" brushRef="#br0" timeOffset="5033">6597 3134 24575,'0'-4'0,"0"-1"0,-2 3 0,-6 0 0,-4 15 0,-8 19 0,8 5 0,0 12 0,17-15 0,11-8 0,-1-7 0,5-11 0,-7-6 0,-6-5 0,8-1 0,-3-3 0,5-7 0,-7 5 0,2-13 0,-15 7 0,6-5 0,-19 3 0,-3-5 0,-7 7 0,-10-6 0,16 13 0,-4 2 0,17 5 0,0 1 0,0 7 0,-3 7 0,3-5 0,-1 2 0</inkml:trace>
  <inkml:trace contextRef="#ctx0" brushRef="#br0" timeOffset="5950">6576 2877 24575,'-4'-6'0,"3"-4"0,-3-12 0,4-26 0,1-22 0,-2-14 0,-3-10 0,0-7 0,2 14 0,2-6 0,0 1 0,1 1 0,1 2 0,2 3 0,5-14 0,3 3 0,3-5 0,3 9 0,7 0 0,-8 5 0,-11 69 0,-4 6 0,-2 17 0</inkml:trace>
  <inkml:trace contextRef="#ctx0" brushRef="#br0" timeOffset="7650">6612 1206 24575,'-2'12'0,"-15"21"0,-2 16 0,-5-7 0,4 5 0,14-34 0,0-3 0,6-9 0,2-8 0,-2 2 0,20-21 0,-1 7 0,7-10 0,-7 18 0,-7 12 0,30 23 0,23 23 0,4 1 0,3 21 0,-38-40 0,-12 4 0,-10-25 0,-10-2 0,-2-2 0,0-1 0,-2-1 0</inkml:trace>
  <inkml:trace contextRef="#ctx0" brushRef="#br0" timeOffset="8600">6603 876 24575,'9'0'0,"5"19"0,25 38 0,-7-5 0,10 12 0,-21-40 0,-1-15 0,-5-10 0,-2 1 0,-2-8 0,2-3 0,-2-3 0,5-13 0,-6 8 0,-2-1 0,-3 9 0,-7 8 0,-3 2 0,-2-2 0,-14-4 0,-10-2 0,-1 1 0,-6 3 0,2 10 0,11-2 0,-4 3 0,19-6 0,4 0 0,0-2 0,3 4 0,-1-2 0,4 2 0</inkml:trace>
  <inkml:trace contextRef="#ctx0" brushRef="#br0" timeOffset="10566">213 3150 24575,'12'-15'0,"25"-18"0,1-3 0,31-28 0,-15 17 0,6-8 0,-2-1 0,4-6 0,2 0 0,0 1 0,1 1 0,1-3 0,-11 6 0,1-3 0,-1 0 0,-5 6 0,15-14 0,-4 2 0,-18 14 0,0-2 0,-2 2 0,11-9 0,-2 1 0,-1 0 0,0 1 0,3 0 0,-5 6 0,2 3 0,-11 9 0,-10 15 0,-15 10 0,5-2 0,-12 12 0,-6 4 0</inkml:trace>
  <inkml:trace contextRef="#ctx0" brushRef="#br0" timeOffset="11367">1725 1398 24575,'19'-2'0,"27"4"0,7 6 0,1 5 0,-16 24 0,-24-14 0,-16 61 0,-13-28 0,-18 33 0,3-23 0,9-32 0,12-7 0,5-25 0,6-2 0</inkml:trace>
  <inkml:trace contextRef="#ctx0" brushRef="#br0" timeOffset="12433">2160 1337 24575,'2'7'0,"2"10"0,5-2 0,-1 5 0,5-11 0,-7-7 0,16-15 0,2-3 0,2-1 0,-9 5 0,-13 7 0,-6 3 0,-4-2 0,-3-6 0,-2-3 0,-6 0 0,5 2 0,-7 9 0,5 2 0,-18 8 0,11 4 0,-6-1 0,18-2 0,7-8 0</inkml:trace>
  <inkml:trace contextRef="#ctx0" brushRef="#br0" timeOffset="13300">2334 1259 24575,'2'-2'0,"45"-23"0,20 8 0,12-9 0,19-6-1192,-29 12 0,8-1 0,6-2 0,1 0 0,-1-1 1192,0-2 0,-1 1 0,1-2 0,4-1 0,6-2-412,-9 3 1,7-1 0,4-1 0,2-2 0,1 0 0,-2 1 0,-4-1 0,-6 2 411,2-3 0,-4 1 0,-3-1 0,-2 1 0,0 0 0,0 1 0,16-5 0,2 1 0,-3 0 0,-6 2 0,-11 1 606,-6-1 1,-9 2 0,-13 4-607,-2-8 0,-37 22 0,-4 1 2449,-3 7-2449,3-5 4980,-3-2-4980,5 0 0,-5 5 0,1 4 0,-4 4 0</inkml:trace>
  <inkml:trace contextRef="#ctx0" brushRef="#br0" timeOffset="14133">5545 0 24575,'3'58'0,"3"-22"0,6 43 0,-1-50 0,2 0 0,1-22 0,-1-5 0,8-4 0,-2-3 0,14-8 0,-7-4 0,1-2 0,-9 1 0,-6-5 0,-5 6 0,-4 1 0,-8 8 0,-7 5 0,-16-4 0,-7-1 0,-13 1 0,7 3 0,9 4 0,13 0 0,6 0 0,6 0 0,0 0 0,5 0 0,0 0 0</inkml:trace>
  <inkml:trace contextRef="#ctx0" brushRef="#br0" timeOffset="15753">6008 273 24575,'7'3'0,"15"7"0,10 9 0,8 10 0,-3 0 0,-8 2 0,-2-5 0,-8-3 0,13-2 0,-19-3 0,18-4 0,-20 6 0,10 3 0,16 40 0,1-7 0,16 15 0,-20-30 0,-8-17 0,-12-8 0,-3-6 0,-6 0 0,-1-5 0,-4 2 0,0-5 0,-7-2 0,-22-8 0,-3 2 0,-6-6 0,-4 6 0,17 1 0,-1 3 0,11 0 0,4-4 0,3-1 0,-1-4 0,9 6 0,15 5 0,1 1 0,20 9 0,-11-7 0,3 4 0,-15-6 0,-3-2 0,3-18 0,4-7 0,1-2 0,2-14 0,-11 16 0,3-4 0,-9 15 0,-1 9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6:35:24.48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69 108 24575,'-5'-2'0,"-7"8"0,5-4 0,-4 6 0,8-5 0,0 0 0,-1 0 0,0 1 0,1 2 0,-5 5 0,6-3 0,-4 4 0,10-3 0,1-4 0,1 7 0,2-7 0,6 4 0,-3-3 0,7-2 0,-9-1 0,19-1 0,-9-4 0,15 1 0,-15-5 0,5 3 0,-14-2 0,2 1 0,-10-1 0,-2-9 0,4-6 0,0-17 0,1 4 0,-3-3 0,-6 18 0,3 6 0,-5 6 0,6-1 0,-2 0 0,-2 1 0,1 2 0,-7 5 0,4-2 0,-2 5 0,3-4 0,1 0 0,-2 2 0,3-3 0,-7 2 0,2 1 0,-4 1 0,1 2 0,-5-1 0,5-1 0,-10 4 0,13-4 0,-5 5 0,8-5 0,2 2 0,0 8 0,4-2 0,-5 4 0,5-5 0,4-5 0,2-1 0,2 0 0,-3-1 0,-2-1 0,7-2 0,-3 4 0,3-1 0,-6 3 0,-1-4 0,5-2 0,3 0 0,0-3 0,1 3 0,-12 0 0,0 0 0,-12 0 0,4-1 0,-7 0 0,8-1 0,3 2 0,4 0 0,3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6:35:28.8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0 742 24575,'2'-2'0,"0"0"0,5 0 0,-2 1 0,1-3 0,1 4 0,22-15 0,-2 5 0,11-7 0,21-9 0,-19 12 0,13-7 0,1-4 0,-7 10 0,34-16 0,-3 7 0,7-2 0,-4 2 0,-1-1 0,0 1 0,2-2 0,-16 3 0,2-3 0,-2 3 0,9-1 0,0 1 0,18-8 0,2 1 0,-15 7 0,-7 2 0,19-2 0,-33 4 0,10-1 0,-32 6 0,6 1 0,-30 8 0,-10 1 0,1 2 0,26-15 0,-8 4 0,16-7 0,-15 6 0,-11 6 0,0 1 0,-5 3 0,-5 5 0,-2 0 0,0 1 0,0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6:35:32.6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1285 24575,'0'6'0,"0"8"0,4 3 0,6 2 0,5-1 0,11-7 0,-1 0 0,7-6 0,-11 2 0,0-2 0,-7-2 0,1-3 0,-1-1 0,-2-1 0,-9 2 0,-4 0 0,-8-2 0,-7-1 0,-2-4 0,-7 0 0,3-1 0,6-2 0,0 2 0,6-1 0,-3-8 0,8 6 0,-6-9 0,6 9 0,-1 0 0,2 4 0,1 0 0,3 5 0,2 0 0,3 2 0,-1 4 0,3 1 0,23 15 0,-10-7 0,13 7 0,-14-12 0,-2-1 0,1-3 0,11-1 0,-8 1 0,2 1 0,-12 9 0,-2 6 0,-12 2 0,-2-3 0,-7-4 0,-5-7 0,8-1 0,-2-1 0,-3-3 0,5 4 0,-5-4 0,9-2 0,-1-1 0,3 0 0,-2 0 0</inkml:trace>
  <inkml:trace contextRef="#ctx0" brushRef="#br0" timeOffset="850">208 1175 24575,'0'-6'0,"2"-1"0,19-36 0,-6 13 0,10-14 0,1-5 0,4-25 0,-5 19 0,4-10 0,1-2 0,-1-2 0,1-2 0,0-1 0,1-4 0,0 0 0,0 2 0,-1 9 0,-1 3 0,-3 8 0,9-28 0,-18 55 0,-12 21 0,-5 7 0</inkml:trace>
  <inkml:trace contextRef="#ctx0" brushRef="#br0" timeOffset="1783">542 1135 23260,'7'-7'0,"53"-22"647,-17 9-647,11-3 0,4 0 220,19-5-220,-23 4 0,-1 1 111,16-3-111,-6-7 337,-27 20-337,-18 4 0,2 4 0,-1 1 0,19 0 0,-8-4 0,6 7 0,-29-1 0,-5 4 0</inkml:trace>
  <inkml:trace contextRef="#ctx0" brushRef="#br0" timeOffset="2717">728 1341 24575,'7'0'0,"15"3"0,32 9 0,10 4 0,7 0 0,3 1 0,16 5 0,-17-7 0,4-1 0,-1-5 0,0-2 0,-4-3 0,-1-1 0,-6 0 0,-4-1 0,25-6 0,-67 2 0,12 5 0,4 2 0,-15 0 0,6 2 0,-20-2 0,-5 8 0,0-8 0,-3 6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6:35:36.8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3218 2775 24575,'4'2'0,"7"8"0,12 58 0,0-13 0,1 5 0,-4 4 0,-1 1 0,3 2 0,-1 0 0,-2-4 0,-1-1 0,-2-3 0,0 1 0,3 6 0,-1 1 0,-1-2 0,-1-1 0,-2 2 0,0-3 0,12 30 0,-1-11 0,-7-50 0,-3-27 0,3 5 0,-9-7 0,1 4 0,-10-1 0,0-1 0,0-1 0,0-2 0</inkml:trace>
  <inkml:trace contextRef="#ctx0" brushRef="#br0" timeOffset="950">3691 4197 24575,'-2'-2'0,"-4"1"0,-22 28 0,-18 25 0,4 3 0,-1 5 0,10-15 0,2-1 0,-2 9 0,3-4 0,5-10 0,9-6 0,7-17 0,2 0 0,4-7 0,4-12 0,2-3 0</inkml:trace>
  <inkml:trace contextRef="#ctx0" brushRef="#br0" timeOffset="1749">3764 4196 19562,'7'-3'0,"-1"1"2331,16 2-2331,1 3 0,42 12 0,-17 4 426,1 10 0,2 3-426,9 7 0,-3 6 0,1-1 0,1-10 442,20 24-442,-50-46 1388,-4 5-1388,-22-3 0,-3-5 0,-4 6 0,0-11 0</inkml:trace>
  <inkml:trace contextRef="#ctx0" brushRef="#br0" timeOffset="2483">4063 4069 24575,'61'-26'0,"1"0"0,0 0 0,19-11 0,2 12 0,6 26 0,2 14 0,-27 0 0,1 5 0,3 3 0,19 8 0,3 4 0,-4 1 0,-16-6 0,-3 0 0,-5 0 0,8 8 0,-11-6 0,-7-8 0,-45-10 0,-8 6 0,-8 8 0,1-12 0,-3-2 0</inkml:trace>
  <inkml:trace contextRef="#ctx0" brushRef="#br0" timeOffset="3950">2998 2536 24575,'-85'-12'0,"-6"9"0,20-1 0,-5 2 0,-1 8 0,0 3 0,7-3 0,4 1 0,13 1 0,3-1 0,-36 3 0,48-10 0,-10 1 0,-10 1 0,-22-1 0,-10-1 0,-5 2 0,-8-1 0,6 0 0,0 1 0,2-1 0,17 0 0,-1 0 0,10 0 0,-18 6 0,9-1 0,0 0 0,-21 2 0,41-4 0,10 1 0,31 0 0,15-5 0,2 2 0</inkml:trace>
  <inkml:trace contextRef="#ctx0" brushRef="#br0" timeOffset="4766">118 1919 24575,'57'61'0,"9"14"0,-9-10 0,1 3 0,-20-22 0,-1 1 0,23 23 0,-5-5 0,-12-14 0,26 21 0,-29-36 0,35 23 0,-31-23 0,26 14 0,-43-23 0,3-5 0,-27-12 0,-2-9 0,-1 1 0</inkml:trace>
  <inkml:trace contextRef="#ctx0" brushRef="#br0" timeOffset="5850">721 2764 24575,'-1'-2'0,"-11"-5"0,-6 2 0,-13-1 0,4 4 0,-21 5 0,-18 3 0,-8-2 0,-3-4 0,20 2 0,-25 5 0,32 1 0,-29 1 0,55-4 0,-7-3 0,15 3 0,0-2 0,7 1 0,7-2 0,2 2 0,0-1 0,0-1 0</inkml:trace>
  <inkml:trace contextRef="#ctx0" brushRef="#br0" timeOffset="6500">833 2767 24575,'-32'34'0,"-16"31"0,-15 24 0,5-7 0,7-11 0,-2 1-591,5-3 1,-7 9 0,1 1 0,6-7 590,9-11 0,5-4 0,2-3 0,-8 12 0,3-4 0,7-6 0,3-6 755,-1 0-755,23-43 0,3-5 0,0-2 0</inkml:trace>
  <inkml:trace contextRef="#ctx0" brushRef="#br0" timeOffset="7966">2602 419 24575,'4'-1'0,"-1"2"0,3 8 0,17 48 0,-1 20 0,-5-11 0,3 13 0,0-4 0,3 8 0,1 1 0,-6-3 0,0 7 0,2-3 0,3-7 0,2-3 0,-3-3 0,2 13 0,-1-3 0,4 8 0,2-5 0,-6-30 0,-2-7 0,8 24 0,6 6 0,-21-6 0,-4 3 0,5 23 0,-9-25 0,-1-3 0,3 6 0,-7-41 0,1-6 0,-2-19 0,-2-9 0,2 0 0</inkml:trace>
  <inkml:trace contextRef="#ctx0" brushRef="#br0" timeOffset="8783">1810 369 24575,'18'-5'0,"14"8"0,24 4 0,19 15 0,-26-9 0,3 2 0,7 5 0,1 2 0,-4-5 0,-2-1 0,24 14 0,-33-15 0,-33-10 0,-3-3 0,-5 0 0,-2 0 0,-2 2 0,0-1 0,0-1 0</inkml:trace>
  <inkml:trace contextRef="#ctx0" brushRef="#br0" timeOffset="9366">2860 1 12468,'-38'26'0,"-11"15"2361,12-7 0,-2 4-2361,-1 0 0,2-1 2105,-20 29-2105,21-25 1176,24-21-1176,11-13 4104,2-1-4104,-2-1 0,2-1 0,-2-2 0</inkml:trace>
  <inkml:trace contextRef="#ctx0" brushRef="#br0" timeOffset="10066">3438 37 24575,'-61'30'0,"0"-2"0,-14 5 0,-9 5 0,5-4 0,1-1 0,1-1 0,5-2 0,13-5 0,5-2 0,-29 11 0,47-17 0,-18 4 0,26-3 0,13-9 0,-3 3 0,11-3 0,8-7 0,1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16:43:43.1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 3 24575,'-2'-2'0,"0"3"0,2-2 0,0 3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6:01:48.3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1140 59 24575,'-46'-5'0,"8"4"0,-27-10 0,11 6 0,-1 2 0,-18-5 0,-9 1 0,2 2 0,21 3 0,-36-6 0,64 7 0,1-2 0,-3 3 0,8 3 0,2-3 0,5 3 0,13-3 0,1 4 0,0-2 0,1 5 0,1-3 0,-7 9 0,-1 25 0,-1 1 0,-4 32 0,11-30 0,4 27 0,4-14 0,5 0 0,-4-6 0,3-12 0,4 14 0,0-6 0,1 9 0,-2-10 0,0-11 0,14 11 0,-6-26 0,11 9 0,7 7 0,-3-4 0,15 3 0,-11-14 0,-11-18 0,5 5 0,-18-5 0,7 3 0,-1-3 0,6 0 0,21 2 0,-14 1 0,12 0 0,-22-1 0,12 1 0,-16-3 0,5 5 0,-32-10 0,-11 3 0,-16-7 0,-35 3 0,25-2 0,-12-1 0,29 6 0,17-1 0,3 4 0,4-1 0,4-3 0,-2 2 0,0-1 0,-1 0 0,-5-2 0,4 0 0,5 3 0,10 1 0,34 8 0,-1-1 0,24 5 0,-8 0 0,-13-2 0,-6-4 0,-14 2 0,-4-4 0,-8 3 0,-2-3 0,-11 1 0,0-2 0,-2 4 0,-2 1 0,-21 8 0,-45 3 0,17-5 0,-29-1 0,55-12 0,4 0 0,8 1 0,9 0 0,-7 3 0,3-4 0,-1 2 0,0-2 0,-5 0 0,8 0 0,-5 0 0</inkml:trace>
  <inkml:trace contextRef="#ctx0" brushRef="#br0" timeOffset="2334">328 734 24575,'-4'41'0,"-3"47"0,-5-15 0,-2 11 0,1-5 0,-1 5 0,-1-3 0,-7 16 0,0-1 0,9-21 0,1 2 0,-2-2 0,-11 23 0,1-4 0,14-13 0,1 0 0,-11 8 0,0-2 0,14-18 0,2-4 0,-6 31 0,5-33 0,-1 3 0,0-6 0,1-4 0,-4 27 0,2-3 0,7-38 0,3 7 0,-3-5 0,14 31 0,-4-20 0,5 3 0,4 5 0,-1-9 0,3-2 0,2 7 0,0-3 0,15 21 0,6-20 0,-21-31 0,3-2 0,-5-17 0,-5-6 0,5-3 0,0-2 0,-5 3 0,-4-3 0,-4 4 0,-2 0 0,5-2 0,1 2 0,-1-2 0,4 2 0,-5 0 0,7 0 0,-5 0 0,-2-2 0,-4 1 0,-4-3 0,0 2 0,-4-11 0,-18-16 0,-2-9 0,-30-26 0,16 23 0,-3 2 0,20 23 0,9 13 0,3-1 0,5 6 0,12 10 0,18 5 0,41 48 0,-29-28 0,0 0 0,-5 5 0,-3 0 0,20 28 0,-39-23 0,-1-9 0,-9 2 0,-11-3 0,-16 8 0,-11-4 0,7-6 0,-3-11 0,23-17 0,-5-3 0,10 0 0,-3-3 0,-11-4 0,11 1 0,-10-2 0</inkml:trace>
  <inkml:trace contextRef="#ctx0" brushRef="#br0" timeOffset="5017">895 1360 24575,'-7'0'0,"-3"0"0,0 4 0,0-3 0,-3 3 0,-4-4 0,-26 15 0,4 0 0,-43 41 0,21 1 0,27-20 0,2 2 0,-22 39 0,28-16 0,1 4 0,-1 4 0,1 1 0,0 3 0,3-3 0,4-10 0,3-6 0,4 14 0,10-1 0,3-5 0,7 28 0,-2-30 0,3 1 0,1 3 0,4 22 0,-1-29 0,1 1 0,-3-5 0,1-2 0,17 24 0,-2 1 0,6-15 0,-3-8 0,8 9 0,0-3 0,-9-16 0,5-2 0,-12-16 0,10-1 0,-13-11 0,-5-9 0,-13-5 0,-52-15 0,0 3 0,-12-1 0,-6-2 0,12-1 0,2-1 0,1 4 0,3-1 0,-23-21 0,41 13 0,-4-16 0,13 15 0,0-5 0,19 19 0,8 7 0,28 10 0,38 0 0,-4 5 0,-7-2 0,2-1 0,18 5 0,9 4 0,-17-7 0,-38-8 0,-6-1 0,-15 3 0,-7-3 0,1 3 0,-2-3 0,-1-4 0,-2-3 0,-3-5 0,2-3 0,-7-38 0,5-17 0,-3 3 0,5 2 0,-2 47 0,2 0 0,-2 12 0,2-1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6:01:56.17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70 5 24145,'2'-3'0,"0"2"214,6 2-214,-2 2 71,16 18-71,-10 43 36,6 19-36,-14 0 0,-3 18 0,-4-6 0,-7 4 0,0-1 36,6-12 0,3 4 1,-4-9-37,-6-9 0,0-14 0,11-16 0,-3-11 0,3-23 0,0-13 0,-2 1 0,-1 0 0,-11-18 0,-3-2 0,-3-9 0,2-1 0,12 17 0,-1 0 0,14 21 0,10 11 0,14 32 0,4 13 0,-6-6 0,0 3 0,13 28 0,-2 5 0,-7 2 0,-5-7 0,2 4 0,2 1 0,-28-90 0,0-1 0,0-8 0,4-15 0,13-32 0,2-18 0,6-10 0,-5 17 0,-4-6 0,-3 8 0,-3 8 0,-4 6 0,-7 44 0,-1-5 0,-2 18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54:59.148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538 1734 24575,'-7'-7'0,"-24"-43"0,-9-37 0,11 34 0,1-3 0,4-8 0,2 1 0,2 16 0,2 1 0,2-6 0,3 1 0,-11-23 0,-2-21 0,6 16 0,-6-10 0,12 34 0,-1 1 0,-12-33 0,-1-3 0,9 30 0,-5 4 0,14 26 0,-11-10 0,14 23 0,-6-5 0,8 9 0,0 6 0,1 2 0,4 1 0,-2 4 0,2-2 0</inkml:trace>
  <inkml:trace contextRef="#ctx0" brushRef="#br0" timeOffset="1996">284 311 24575,'19'10'0,"-8"7"0,20 2 0,-15 13 0,1-2 0,1 14 0,-11-15 0,8 19 0,-11-3 0,9 41 0,-5-20 0,1-16 0,0-1 0,-2 5 0,7 16 0,-5 16 0,5-23 0,-5-6 0,0-1 0,6 8 0,3 26 0,-9-52 0,8 10 0,-11-33 0,10 19 0,-3 4 0,5-1 0,1 7 0,-4-16 0,2 6 0,-6-6 0,14 25 0,-9-21 0,4 8 0,-12-25 0,-4-11 0,-4-2 0,0-4 0</inkml:trace>
  <inkml:trace contextRef="#ctx0" brushRef="#br0" timeOffset="2842">928 1666 24413,'4'-5'0,"-1"-3"0,8-38 0,-1-13 0,-3-16 0,-1 3 0,2-15 0,-5 6 0,-11-3 0,-3 2 40,4-17 1,-3 1-41,-7 17 0,-2 7 13,1 21 1,1 2-14,1-2 0,0-1 6,-3-3 1,-1-2-7,3-9 0,2 1 0,-9-25 20,9 33 1,1 10-21,5 30 0,-4-13 0,7 32 0,6-2 0,-2 4 0</inkml:trace>
  <inkml:trace contextRef="#ctx0" brushRef="#br0" timeOffset="3476">1096 338 24575,'9'2'0,"23"74"0,-19-2 0,-4 17 0,1 0 0,2-4 0,2 0 0,-3 5-553,-3-2 0,-3 6 0,0-1 0,0-7 553,-1-7 0,0-5 0,0-3 0,1 21 0,1-9 0,2 7 709,1-19-709,-7-65 365,1 10-365,1-9 0,-2 1 0,1 4 284,1-4 1,-4 0-1,2-4 1</inkml:trace>
  <inkml:trace contextRef="#ctx0" brushRef="#br0" timeOffset="4192">1584 548 24575,'34'47'0,"-8"34"0,-2-10 0,-1 13 0,-13-14 0,-3 9 0,-2 2 0,0-3-1028,0 10 0,0-2 0,-2 1 1028,0-11 0,-1 2 0,0-1 0,-1-8 0,0 24 0,-2-14 972,-1-1-972,0-30 126,-12-37 1,9-11 0,-7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55:14.412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0 24575,'24'60'0,"-7"18"0,0 8 0,-3-19 0,0 1 0,3 31 0,0-5 0,6-3 0,-11-47 0,-10-35 0</inkml:trace>
  <inkml:trace contextRef="#ctx0" brushRef="#br0" timeOffset="1995">338 360 24575,'27'52'0,"5"35"0,-6-31 0,0 1 0,7 30 0,-9-40 0,-20-49 0,0-2 0,32-70 0,-10 13 0,-5 12 0,-3 0 0,-6-7 0,-15 31 0,-22 12 0,4 9 0,-57-12 0,20 8 0,-34-10 0,37 7 0,16 4 0,14 5 0,23 4 0,17 8 0,8-7 0,48 12 0,-12-13 0,23 5 0,-32-9 0,-8-3 0,-19-3 0,-3-4 0,-11 8 0,-7 5 0,-2 13 0,-3 46 0,6 19 0,-2 19 0,16-13 0,-5-44 0,13-21 0,-4-25 0,6-7 0,26-17 0,7-7 0,1-8 0,-13-15 0,-33 15 0,-16-2 0,-28 11 0,-10 15 0,-26-10 0,-4 8 0,14 3 0,0 7 0,37 9 0,3 3 0,18 0 0,14 0 0,35 2 0,8 0 0,5-1 0,9 1 0,-1-2 0,-17-3 0,-3-2 0,-29 2 0,-13 3 0,-6 7 0,3 32 0,-2 38 0,8 4 0,6 6 0,7-43 0,-2-22 0,-6-11 0,-11-9 0,-4-4 0,-1 0 0,6-16 0,7-29 0,-3-19 0,2-5 0,-19-16 0,-16 31 0,0 1 0,-7 25 0,1 13 0,4 3 0,1 3 0,8 7 0,-2 16 0,-5 10 0,-7 5 0,-15 24 0,25-33 0,-8 13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55:10.691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212 215 24575,'2'34'0,"4"11"0,0 10 0,2 3 0,0-10 0,-4-10 0,2-17 0,-5-7 0,1-12 0,-2 0 0</inkml:trace>
  <inkml:trace contextRef="#ctx0" brushRef="#br0" timeOffset="1616">389 136 24575,'-2'-4'0,"0"1"0,-4-1 0,-4 1 0,-15-9 0,-10 4 0,-7-9 0,9 10 0,-1-3 0,9-5 0,-5 8 0,3-10 0,6 11 0,6 3 0,1 1 0,11 6 0,-3 0 0,4 5 0,-1 1 0,-2 32 0,2-22 0,-9 61 0,5-37 0,-4 16 0,8-16 0,-2-19 0,2 7 0,0-6 0,1 4 0,2-12 0,2 21 0,4-1 0,1 0 0,29 33 0,-12-37 0,12 2 0,2-1 0,-2-5 0,34 1 0,-46-21 0,18-2 0,-26-8 0,5 2 0,-6-6 0,-10 2 0,1-3 0,-4 3 0,-2-11 0,2-2 0,1-39 0,1-34 0,-4 38 0,0-1 0,2 0 0,-1 1 0,-4-25 0,-3-8 0,2 33 0,-4-42 0,2 44 0,3-5 0,-1 22 0,1 18 0,-1 10 0,0 0 0,-1 2 0,1-1 0,2 4 0,0-2 0,2 2 0</inkml:trace>
  <inkml:trace contextRef="#ctx0" brushRef="#br0" timeOffset="2249">837 504 24575,'11'-2'0,"9"3"0,9 2 0,50 10 0,-18 3 0,5 0 0,-3-7 0,0 1 0,0 4 0,-6-1 0,9-8 0,-49-2 0,1 0 0,-18-2 0</inkml:trace>
  <inkml:trace contextRef="#ctx0" brushRef="#br0" timeOffset="2683">1125 739 24575,'37'-3'0,"-1"4"0,37-1 0,-23 2 0,-6-2 0,-21 0 0,-3 0 0,-14-2 0,2 2 0,-8-2 0</inkml:trace>
  <inkml:trace contextRef="#ctx0" brushRef="#br0" timeOffset="3316">1283 136 24575,'35'16'0,"18"30"0,-7-2 0,0 3 0,20 22 0,-24-20 0,-3-5 0,-9-19 0,2 5 0,-13-12 0,-26 3 0,-35 60 0,0-23 0,-5 4 0,7 2 0,-1 1 0,-14 15 0,4-3 0,23-33 0,3-3 0,-21 39 0,15-35 0,19-28 0,5-3 0,5-9 0,2-3 0,0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07:02:44.47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346 4135 24575,'-2'-6'0,"0"-3"0,-1 0 0,1 0 0,-2-2 0,-2-9 0,-4 2 0,0-21 0,-8-3 0,4 1 0,-5-7 0,-1 14 0,5-4 0,-1 10 0,0-30 0,6-18 0,1-4 0,7 20 0,1 2 0,4-14 0,1 16 0,1 0 0,6-15 0,6-12 0,2 0 0,-1 5 0,-1 13 0,-2 8 0,-8 27 0,-4 16 0,1 4 0,8-20 0,-5 8 0,12-24 0,-11 25 0,5-4 0,-7 16 0,-2 3 0,-7 6 0,-1 0 0,-5 2 0,0 2 0,-1-3 0,2 3 0,-1-4 0,-1 0 0,-12 2 0,4 1 0,-8 2 0,6 3 0,3-3 0,7 2 0,3-4 0,7 1 0,-2-6 0,2 0 0,2-3 0,7-6 0,-1 6 0,10-7 0,14 2 0,-8 2 0,8 0 0,-19 6 0,-6 2 0,-3 2 0,-2 0 0,0 2 0,-1 2 0,0-1 0,2 8 0,9 8 0,-2-1 0,12 7 0,-12-16 0,7 5 0,3 2 0,-3-5 0,-1 2 0,-10-13 0</inkml:trace>
  <inkml:trace contextRef="#ctx0" brushRef="#br0" timeOffset="2800">328 2351 24575,'-2'-6'0,"-13"-15"0,-26-29 0,1-8 0,-16-21 0,31 22 0,2-10 0,3 0 0,-2-25 0,2-4 0,2 14 0,0-5 0,4 7 0,5-4 0,5 11 0,4-16 0,14 7 0,-5 39 0,10-21 0,-13 48 0,7 9 0,-10 4 0,15-1 0,-5 4 0,27-3 0,34 12 0,-14-2 0,-7 4 0,-1 3 0,-8 3 0,14 2 0,-27-8 0,-16-8 0,0-1 0,-14-2 0,-11-4 0,-22-14 0,1 7 0,-15-7 0,25 16 0,-6-2 0,12 3 0,0-3 0,5 4 0,7-2 0,-1 1 0,2-1 0,-1 0 0,3-4 0,1 1 0,3-1 0,13 4 0,-5 6 0,19 0 0,26 12 0,-18-11 0,15 10 0,-24-12 0,-12 3 0,7-3 0,-11-1 0,-6-2 0,-7 0 0,-2 0 0,-17-7 0,5 1 0,-22-31 0,15 8 0,-2-13 0,12 21 0,8 14 0,2 9 0,9 14 0,18 8 0,10 23 0,4-12 0,-9 8 0,-17-23 0,-8-5 0,-5-7 0,-2 3 0,0-5 0,-17 29 0,4-13 0,-16 18 0,2-11 0,10-12 0,-1-4 0,16-9 0,-4-2 0,3 3 0,-1-3 0,2 0 0</inkml:trace>
  <inkml:trace contextRef="#ctx0" brushRef="#br0" timeOffset="5183">841 957 24575,'-2'-9'0,"-8"-8"0,-2 0 0,-22-25 0,7 14 0,-26-23 0,23 29 0,-29-9 0,32 17 0,-24-6 0,26 5 0,-13-3 0,16 10 0,2-2 0,0 3 0,8 2 0,-9-6 0,8 5 0,4-3 0,3 2 0,0-5 0,-7-12 0,-5-19 0,-3-1 0,-6-35 0,14 29 0,-2-3 0,20 18 0,0 16 0,5-7 0,0 9 0,-3 5 0,1 8 0,-3 2 0,7 2 0,-6 0 0,15 2 0,-12 1 0,17 1 0,-15 1 0,34-2 0,-18 1 0,10-4 0,-16 2 0,-14-2 0,2 0 0,-7 0 0,-3-2 0,-19-5 0,12 2 0,-16-9 0,11 4 0,-1-6 0,1 3 0,7 0 0,-7 4 0,4-1 0,-7-2 0,8 0 0,4 0 0,2-3 0,1 1 0,-5-4 0,3 7 0,-2 0 0,3 7 0,2 0 0,2 3 0,4 4 0,8 7 0,4-1 0,2 3 0,24 4 0,-14 1 0,11 4 0,-8-1 0,-9 12 0,4-9 0,-4 12 0,-6-14 0,-6-2 0,-2-3 0,-10-10 0,-3-2 0,-5 2 0,-8 10 0,-15 14 0,3-3 0,-5 6 0,13-10 0,-7 9 0,6-6 0,-2 5 0,12-12 0,15-9 0,1-4 0,4-2 0,-5 1 0,-4 0 0,2-1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07:03:33.42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239 20 24575,'1'-4'0,"4"-2"0,-2 1 0,2 1 0,-4 4 0,14 4 0,-5 6 0,13 2 0,-8 9 0,11 43 0,-14-18 0,5 40 0,-23-18 0,2 1 0,-3-15 0,2-16 0,-3-1 0,0 11 0,0 0 0,0 4 0,-3 42 0,0-4 0,5-25 0,5-28 0,8-15 0,1-5 0,3-15 0,-4-2 0,1 0 0,1-4 0,1-1 0,-1-2 0,-9 5 0,-2 7 0,-23 33 0,-6 11 0,11 2 0,-9 5 0,3-1 0,23-14 0,2-7 0,17-13 0,-8-9 0,10-3 0,-9-2 0,10 14 0,26 31 0,-10 0 0,13 16 0,-26-18 0,-10-23 0,-7-4 0,-7-21 0,-9 6 0,-14 10 0,-29 8 0,2 3 0,-24-7 0,30-8 0,7-9 0,12-2 0,-1-1 0,-5 4 0,7-1 0,1 1 0,18-5 0,4-1 0,0-2 0,5 4 0,-2-2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07:03:46.7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447 114 24575,'2'-5'0,"2"-7"0,9-5 0,2-10 0,3 5 0,-5 3 0,-5 12 0,-3 3 0,-3 8 0,2-1 0,-2 3 0,24 20 0,-13-8 0,14 27 0,0 9 0,-12 26 0,-6-16 0,-2 10 0,-5-1 0,-17 18 0,-7 0 0,7-22 0,-1 1 0,-3-5 0,-11 7 0,-2-10 0,-14 13 0,19-48 0,3-11 0,6-15 0,-21-2 0,0-7 0,-15-1 0,21-2 0,9 10 0,12 33 0,10-3 0,9 29 0,7-32 0,14-1 0,16-18 0,-18-2 0,19-2 0,-29-1 0,7 7 0,-6 1 0,11 18 0,5 10 0,-4 15 0,1 34 0,-18-16 0,-3 23 0,-11-41 0,-3-9 0,-20-5 0,-2-16 0,-12 4 0,-7 0 0,-1-8 0,-1-3 0,0 3 0,1-1 0,-38 2 0,61-21 0,2 1 0,19-9 0,-8 0 0,-7-9 0,-5-2 0,5 5 0,4 4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07:03:54.09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0 703 8191,'0'-25'0,"20"-19"0,14-10 804,8 6 1,10-3 0,-1-1-805,-3-2 0,1-1 0,3 0 1009,16-6 1,5 0 0,-10 11-1010,-21 16 0,-3 7 2008,40-4-2008,-60 44 5719,25 61-5719,-34-10 0,-8 10 0,0-3 0,-4 6 0,-4 5 644,-6-4 0,-5 6 1,-2-1-1,1-5-644,1-1 0,-1-4 0,-1-1 0,-4 9 0,-3-1 0,4-16 0,-1-9 0,8-9 0,8-32 0,3-10 0,4 2 637,-2 5-637,-1 23 0,10 9 0,5 16 0,21-11 0,-5-18 0,18-10 0,-17-19 0,11-11 0,-15-6 0,-5-4 0,-13 10 0,-46 56 0,11-10 0,-9 16 0,-1 7 0,-4 29 0,3-10 0,19 16 0,15-71 0,8 28 0,4 5 0,-1-6 0,4 10 0,-2 3 0,-9 16 0,-2-28 0,-4-1 0,-23 33 0,-2-17 0,0-23 0,12-23 0,8-11 0,5-6 0,3-2 0,-7-5 0,1 4 0,-15 4 0,2-3 0,7 5 0,3-6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07:30:48.537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3286 3076 24575,'59'3'0,"-1"1"0,22 5 0,3 1 0,2 0 0,3 2-409,-16 2 0,4 3 0,-1-1 409,-3-2 0,-1-1 0,0 1 0,2 1 0,0 1 0,-5-2 0,0 0 0,-1-3 200,31-1 1,-4-3-201,-43-2 0,0-1 0,25 1 0,5 0 101,-2 7 1,-1 2-102,-12-2 0,8 3 0,-5-1 0,12 3 0,7 0 0,2 1 0,-3-1-1129,-7-2 1,-4-1 0,2 0 0,8 0 0,12 0 1128,-22-4 0,9 1 0,7 0 0,7 0 0,4 0 0,3 1 0,2-1 0,-1 0 0,-1 0 0,-3-1 0,-5 0 0,-6-1 0,-7 0 0,14 1 0,-10 0 0,-5-1 0,-3-1 0,3 0 0,6 0 0,10 0 0,-20-3 0,9 1 0,6-1 0,4 1 0,4-1 0,2 0 0,1 0 0,-2 0 0,-2-1 0,-3 0 0,-7 0 0,-6-1 0,-8-1 0,-10 0-406,29 0 1,-17-1 0,-6-1-1,7-1 406,5 0 0,9 0 0,-2 0 0,-8-1 0,-19 0 0,29-2 0,-77-3 0,1 1 0,6-6 4998,54-2-4998,7-6 0,10-2 0,-31 8 0,1 1 0,6-3 528,13-5 0,10-4 1,1-1-1,-5 2-528,8-1 0,-4 0 0,-3 0 0,-5-1 0,-2 0 0,-6 1 0,18-3 0,-18 3 0,-31 1 0,12 1 0,-37 11 0,8-2 0,8-9 775,26-11-775,3-2 0,-4 9 0,-33 13 0,-17 13 0,20-8 0,-16 7 0,15-3 0,-22 5 0,3 0 0,-4 0 0,0 0 0,-10 0 0,-7 0 0,-45-8 0,12 0 0,-8-4 0,-1-1 0,-7-3 0,-5-9 0,36 12 0,6 1 0,9 8 0,-4 2 0,4 2 0,5 0 0,28 3 0,-2 9 0,77 2 0,-51 5 0,21-3 0,2-1 0,-13-1 0,-4-2 0,-1 0 0,-11-6 0,-6-1 0,-36 2 0,-11 2 0,0 1 0,-11 13 0,11-1 0,-10 8 0,14-11 0,3-7 0,6-9 0,1-1 0</inkml:trace>
  <inkml:trace contextRef="#ctx0" brushRef="#br0" timeOffset="1867">13553 3902 24575,'-9'-2'0,"0"-2"0,-7-1 0,0-3 0,-7 0 0,-6 2 0,-14 1 0,7 5 0,-6-3 0,13 7 0,-4 2 0,5 6 0,4-5 0,11 1 0,2 10 0,5-2 0,-11 24 0,-2 20 0,2 19 0,-6 7 0,13-10 0,2-13 0,5-23 0,6 9 0,4-19 0,4-3 0,12 1 0,-6-14 0,17 17 0,-10-20 0,19 13 0,-12-18 0,11 2 0,-12-5 0,12 0 0,-4-3 0,3 0 0,-15 0 0,0 0 0,-10-3 0,11-4 0,-8-2 0,3-3 0,-5-2 0,2 0 0,17-25 0,-3-5 0,-2-2 0,-12-5 0,-19-2 0,-2-4 0,-3 3 0,-4-3 0,-10-28 0,-1 5 0,-3-1 0,-10-3 0,4 18 0,-1 4 0,0 10 0,-7-2 0,22 34 0,4 8 0,4 14 0,-5 1 0,-8 11 0,10-9 0,-4 7 0</inkml:trace>
  <inkml:trace contextRef="#ctx0" brushRef="#br0" timeOffset="5131">13059 4354 24575,'-23'-7'0,"-6"-1"0,-27-5 0,-10-3 0,-14 1 0,31 5 0,-2 1 0,-39 1 0,1-3 0,26 8 0,-10-5 0,36 1 0,-40-8 0,53 10 0,-25-7 0,3 6 0,5-2 0,-52-8 0,28 6 0,-2 3 0,0 1 0,-4 2 0,-5 5 0,-7 2 0,11 3 0,-3 2 0,-2-1 0,-6 0 0,-6 2-486,3 0 1,-6 1-1,-2-1 1,2 0 485,5-1 0,1-2 0,0 1 0,-2 0 0,-10 3 0,-2 1 0,2 0 0,6-2 0,2-2 0,6-1 0,1 1 0,1 2 0,1 1 0,8-1 0,12-1 0,3-1 0,-32 4 0,9-1 0,21 1 0,7-1 0,-4 0 0,3-2 0,1-1 0,-34 10 0,12-6 0,1-2 0,2 0 0,20-1 0,-1 0 0,-35-1 971,33-4 0,-2 1-971,-7-1 0,-3 0 0,-3-1 0,-1 0 0,1 1 0,3 1 0,-31 0 0,22 2 0,55-6 0,3 3 0,10-3 0,-5 0 0,6-2 0,-1-1 0,14-5 0,2-2 0,3 1 0,-4 0 0,1 5 0,-7-1 0,4 3 0,-4-2 0,1 2 0,0 1 0,-2 3 0,0 3 0,-2 1 0,-1-1 0,-1-1 0,6-4 0,0-4 0,3-6 0,4-9 0,1-4 0,0 4 0,2 1 0,-9 13 0,-1 4 0,-9 13 0,4-2 0,-3 3 0,3-5 0,-11 7 0,8-7 0,-6 6 0,10-8 0,8 2 0,19 29 0,-2 8 0,4 25 0,-18-1 0,-26 20 0,-1-21 0,-6-4 0,15-38 0,8-22 0,2-4 0</inkml:trace>
  <inkml:trace contextRef="#ctx0" brushRef="#br0" timeOffset="6918">7448 4057 24575,'0'-4'0,"-2"-2"0,-6-1 0,-3 2 0,-9-2 0,-53-2 0,-25 1 0,27 1 0,-4 0 0,-4 0 0,1 1 0,-6 0 0,0 0 0,5 0 0,-5 0 0,4 1 0,5 1 0,-12 0 0,13 1 0,16 2 0,17-1 0,10 2 0,-9 0 0,6 0 0,-21 0 0,35 0 0,0 2 0,18 9 0,-1 10 0,-3 47 0,1-5 0,6-9 0,4-2 0,12 11 0,27 11 0,-7-45 0,36 12 0,-6-15 0,-1 1 0,-5-2 0,5-4 0,-10-5 0,17 1 0,-10-6 0,-22-7 0,1-1 0,-8-1 0,3-1 0,-8 1 0,-2-2 0,-10-4 0,-6 3 0,2-6 0,6 5 0,-7-1 0,14 1 0,0 2 0,42 3 0,-9-2 0,-5 4 0,1-1 0,6-2 0,17 4 0,-46-8 0,7-1 0,-25-4 0,2 3 0,-8-6 0,-5 4 0,10-15 0,-2-3 0,15-43 0,-11 5 0,-6 11 0,-2-6 0,0-15 0,-3-2 0,-4 7 0,-1 0 0,3 0 0,-2 5 0,-8-6 0,-9 46 0,8 10 0,-10-1 0,7 7 0,-16 0 0,15 6 0,-4 0 0</inkml:trace>
  <inkml:trace contextRef="#ctx0" brushRef="#br0" timeOffset="9134">6015 4201 24575,'0'-5'0,"0"1"0,-29-1 0,2 3 0,-36-3 0,4 1 0,-11 1 0,-24 3 0,3 4 0,19-1 0,-12-1 0,-3 3-937,-7 2 0,-4 2 1,-8 1 936,30-3 0,-4 1 0,-4 1 0,-2 0 0,-1 0 0,1 0 0,-5 0 0,-3 1 0,0 0 0,1 0 0,2 1 0,3-1 0,3 1 0,2 0 0,3 0 0,0 0 0,-1-2 0,-5 0 0,-3-1 0,1-1 0,7-1 0,15 0 0,2 0 0,6-2 0,-38 2 0,8 0 0,32 1 0,-23 2 0,-8 2 0,29-2 0,1 0 0,-15 3 0,3-2 0,-12 3 2810,55-10-2810,19-5 0,7-2 0,3-1 0,1 3 0,0-2 0,9 2 0,3-5 0,17-1 0,6-5 0,-10 4 0,24-3 0,-28 9 0,36-13 0,-24 4 0,7-10 0,-15 1 0,0-6 0,-15 10 0,7-4 0,-20 16 0,0 1 0,-8 6 0,0 5 0,-7 7 0,-3 3 0,-29 22 0,4-15 0,-12 12 0,22-23 0,21-1 0,13-5 0,33 25 0,14 5 0,11 4 0,2 5 0,1 0 0,15-1 0,9-8 0,-32-16 0,-10-14 0,-34-6 0,-7-2 0,-4 3 0,2-2 0</inkml:trace>
  <inkml:trace contextRef="#ctx0" brushRef="#br0" timeOffset="9901">1691 4102 24575,'-29'20'0,"-5"7"0,-13 7 0,-8 0 0,-17 8 0,-10 4 0,-4 2 0,1 0 0,8-4-1367,3 0 0,5-2 0,1-1 1,-3 2-1,-4 0 1367,-7 3 0,-8 3 0,-2 0 0,2 0 0,6-5 0,12-5 659,-4 4 0,11-6 0,12-9-659,-2-4 273,52-32 1,1 5 0,-1-7-1</inkml:trace>
  <inkml:trace contextRef="#ctx0" brushRef="#br0" timeOffset="10351">254 4179 24575,'49'78'0,"1"-1"0,0 1 0,-1 0 0,1-1 0,0 1 0,-1 0 0,1-1 0,-1 1 0,1 0 0,4 7 0,-1-1 0,-1-2 0,0 0 0,-1 0 0,0 0 0,-1 0 0,-1 1-720,0 1 1,-1 2 0,0 1-1,-1-1 1,-1 0 0,-1-3-1,-1-3 1,-3-4 719,10 16 0,-2-4 0,-3-4 0,-2-6 0,-4-8 570,1 0 1,-4-9 0,-3-8-571,3 1 0,-13-26 232,-22-39 0,-2-1 0,0-1 1</inkml:trace>
  <inkml:trace contextRef="#ctx0" brushRef="#br0" timeOffset="12867">248 2950 24575,'24'3'0,"16"7"0,12 8 0,12 15 0,2 5 0,0 4 0,-8 0 0,-9-3 0,-30-17 0,-8-4 0,-9-19 0,2-9 0,28-36 0,18-14 0,-7 14 0,5-2 0,8-9-772,-7 7 0,6-7 0,5-6 0,4-3 0,2-2 1,0 0-1,-1 1 772,-1 2 0,0 1 0,2-2 0,0-1 0,2 0 0,1-2 0,2-1 0,2-2-454,-8 7 0,2-2 0,3-1 0,1-2 0,1-1 0,1 0 0,-1 0 0,-1 1 0,-1 1 0,-2 2 0,-2 3 454,7-8 0,-2 1 0,-1 2 0,-1 1 0,-2 1 0,0 1 0,-1 1 0,1 0 0,5-6 0,2-2 0,0 1 0,-1 2 0,-5 4 0,-6 6 0,-9 10 0,26-23 0,-15 15 0,-16 11 0,-16 17 0,-28 29 0,-4 5 0,0-2 0,0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16:45:52.79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1221 86 24575,'26'50'0,"-6"17"0,-13 2 0,-2 17-1379,0-18 0,0 10 0,0 7 1,0 1-1,0 0 1379,0 5 0,0 0 0,0 3 0,1 2 0,0 3 0,1-13 0,1 5 0,1 2 0,0 0 0,0 0 0,0-3 0,0-4 0,0 9 0,0-3 0,-1-3 0,2-2 0,2 1 91,2-1 0,2 1 1,1-2-1,0-5 1,-2-6-92,1 6 0,-1-8 0,1-2 694,6 29 1,-4-16-695,-8-29 0,-10-19 0,-9 14 0,-3 45 0,3-1 0,-3 8 1534,-4-6 0,0 1-1534,10-27 0,2 1 0,-1-6 748,-3 6 1,3-11-749,8-4 0,50-40 0,35-15 0,12-2-947,-27 2 1,5-1 0,6-2 0,7 1-1,7-2 1,8 1 0,9 1 946,-43 0 0,5 0 0,5 1 0,4-1 0,3 0 0,4 0 0,3 0 0,3 0 0,3 1 0,1-1 0,2 0 0,2 0 0,0 0 0,2 1 0,-1-1 0,1 0 0,0 0 0,-2 0 0,0 1 0,-2-1 0,-1 0 0,-2 1-185,-8-1 0,1 1 1,-1-1-1,0 1 1,0-1-1,0 1 1,0-1-1,0 1 0,0 0 1,0-1-1,1 1 1,-1-1-1,1 1 1,1 0-1,0-1 1,0 1-1,1 0 0,1-1 1,1 1-1,0 0 1,1-1-1,0 1 1,2-1-1,1 1 185,-10 0 0,1-1 0,2 1 0,0-1 0,2 1 0,1 0 0,1-1 0,0 1 0,1 0 0,1-1 0,0 1 0,1-1 0,0 1 0,0 0 0,0-1 0,0 1 0,0-1 0,0 1 0,0 0 0,-1-1 0,0 1 0,-1-1 0,-1 1 0,0-1 0,-1 1 0,-1 0 0,-1-1 0,-2 1 0,0-1 0,-2 1 0,-1-1-129,15 1 1,1-1 0,-2 1 0,1-1 0,-2 1 0,0-1 0,0 1 0,-2-1 0,0 1 0,-1-1 0,-1 0 0,-1 1 0,-1-1 0,-1 1 0,-1-1 0,-1 1-1,-2-1 1,-1 0 0,-1 1 0,-1-1 0,-2 1 0,-1-1 128,17 0 0,-1 1 0,-1-1 0,-2 0 0,-2 0 0,-2 0 0,-1 0 0,-2 1 0,-2-1 0,-2 0 0,-2 1 0,-2-1 0,-3 0 0,-2 1 0,23 0 0,-1 0 0,-3-1 0,-4 1 0,-5 1 0,-7-1 0,-7 0 0,-11 0 0,60 0 0,-61 2 0,-65-2 3034,-1 0-3034,-1-2 4537,2-2-4537,-24-77 0,7 32 0,-1-7 0,-1-11 0,-1-8 0,1-4 1888,-3-11 1,1-5 0,0-5-1889,3 8 0,0-5 0,0 0 0,1 3 0,2 16 0,1 2 0,0 1 0,1 2 0,-4-21 0,1 2 0,2 16 0,-9-17 0,9 43 0,-11-5 0,-12-17 0,10 12 0,-2-4 0,3 4 0,-1-9 0,5 3 0,-2-9 0,0-5 0,-1 2-277,-1 0 0,0 1 0,-1-2 1,0-1 276,0-9 0,-1-3 0,0-1 0,-1 1 0,-4-6 0,-2-2 0,1 5 0,4 10 0,0-6 0,2 7 0,5 14 0,0-2 0,5 17 0,6 17 0,1 1 0,9 24 0,-2 2 0,4 0 2225,0 5-2225,-7-14 0,5 12 0,-6-10 0,6 16 0,-50 5 0,-32 5 0,-3-4 0,-11 1 0,-8 0-654,20-1 0,-4 1 0,-6 0 0,-3 0 0,-6 1 654,16-1 0,-5 0 0,-5 2 0,-2-1 0,-1 0 0,1 0 0,3-1 0,4 0-591,4-2 1,3 0 0,2-1 0,0 0 0,1 1 0,-3-1 0,-3 2 590,-2 1 0,-4 1 0,-3 1 0,-1 0 0,1 0 0,4 0 0,4-2 0,7 0 0,-4-2 0,6-1 0,5-1 0,0 0 0,-4 2-239,-10 2 1,-4 1-1,0 1 1,5-1-1,8-1 239,-1-1 0,8-2 0,-1 0-155,-13 2 0,-2-1 0,6 1 155,-14 1 0,6 0 0,4-1 0,-3 0 0,7 2 0,-6 0 0,-1-1 0,5-5 0,-1-2 0,0-1 193,-7 1 1,-2 0 0,-5-2-194,27 0 0,-2-1 0,-3-2 0,-3 0 0,-4-1-23,2 0 0,-5-2 0,-3-1 0,-3-1 0,0 1 1,2 0-1,2 2 23,-3 1 0,1 1 0,2 1 0,-1-1 0,-2 0 0,-4-1 0,10 0 0,-4-2 0,-2-1 0,-1 0 0,0 0 0,1 1 0,2 1 0,2 2 0,-13 1 0,1 1 0,1 2 0,3 0 0,2 0 0,3 0 0,2-2 0,5 0 0,1 0 0,0 0 0,-4 0-55,3 2 0,-4 0 0,-2 1 1,2 0-1,5 0 0,8 0 55,-18-1 0,10 1 0,2 0 156,3 2 1,2 2 0,9-1-157,11-2 0,4 4 792,-7 9 1,1 1-793,7-9 0,-3 0 0,-22 10 0,-6 0 0,-5-5 0,-4-1 1258,20-1 1,-4 0 0,-6 2-1259,-3 2 0,-6 2 0,-3 1 0,0-1-184,2 0 1,0 0 0,-1 0 0,-4 2 183,6-1 0,-3 1 0,-2 0 0,1 1 0,3-2 0,11-1 0,0 0 0,2-1 0,2 0 0,1 1-132,-9 2 0,2 0 0,4 0 0,5-2 132,-30 1 0,17 0 0,-1 8 0,90-22 174,0-1 0,2 2 0,-2 1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16:45:56.5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6167 134 24575,'11'18'0,"-4"11"0,1 39 0,-5-14 0,-1 3 0,0-5 0,0 0 0,1 13 0,-2-5 0,-1 4 0,0 26 0,0-35 0,2 9 0,0 1 0,0 5 0,0-2 0,0 0 0,-2 11 0,0-20 0,0 3 0,0-5 0,0-2 0,0-4 0,0-2 0,4 43 0,-4-1 0,6-29 0,-3 23 0,5-19 0,-4-21 0,3 38 0,1-31 0,0 22 0,5-20 0,-4 2 0,-2-10 0,0 4 0,-7 2 0,12 6 0,-8-17 0,8-1 0,-4-13 0,2-4 0,-3 1 0,11 16 0,-13-25 0,9 24 0,-8-25 0,5 10 0,-2-6 0,5 9 0,-4-3 0,-1 1 0,4 11 0,1-10 0,-3 12 0,8 10 0,-12-25 0,4 8 0,-9-27 0,4 23 0,-5-16 0,2 18 0,-3-23 0,0 1 0,0-3 0,0 0 0</inkml:trace>
  <inkml:trace contextRef="#ctx0" brushRef="#br0" timeOffset="2317">6187 206 24575,'-2'-2'0,"0"0"0,-3 2 0,-10 0 0,-42-15 0,-27-3 0,27 3 0,-3-1 0,3 3 0,3 2 0,-14-5 0,0 8 0,41 4 0,-26 4 0,26-3 0,-5 1 0,-7 2 0,-9 2 0,0-2 0,-7 1 0,-11 7 0,-1-1 0,8-5 0,-6-1 0,-16 3 0,-11 3 0,0-2 0,0-2 0,0-2 0,-3 1-354,19 1 1,-2 0 0,0 0-1,0 0 354,-1 0 0,0-1 0,2 1 0,3 0 0,-4 3 0,3 0 0,-4 0 0,0-2 0,-5-2 0,-1 1 0,3 1 0,-11 2 0,3 0 0,-2 0-229,16-3 0,-2-1 0,2 0 1,6 2 228,-27 4 0,11-1 0,25-4 0,3 1 0,-3 5 0,1-1 672,6-7 1,-1 0-673,-9 5 0,-3 0 0,-1-5 0,-4-1 0,4 2 0,-5 0 0,-1-1 0,2-1 0,-2 0 0,-3 0-18,-20 0 0,-5 0 1,1 0 17,11 0 0,1 0 0,4 0 0,-17 0 0,10 0 0,31 0 0,11 0 0,17 0 0,23 0 0,-9 0 0,-44 0 0,16-6 0,-13 5 1037,28-5-1037,17 6 0,-6 0 0,4 0 0,9 2 0,4-2 0,4 2 0</inkml:trace>
  <inkml:trace contextRef="#ctx0" brushRef="#br0" timeOffset="4313">6343 3277 24575,'-48'-5'0,"-17"-5"0,9 7 0,-11 0 0,-18-2 0,-13-1 0,4 3 0,17 2 0,2 1 0,-5-1-384,-5-1 0,-7-1 0,0 0 1,8 0 383,6 3 0,6 0 0,2-1 186,-27-1 0,3-1-186,1 1 0,4-1 0,24-1 0,4-1 0,-1 2 0,5-1 0,-11-3 0,39 8 1163,-21 4-1163,-11 6 0,-14 3 0,1-5 0,-7 1 0,9 0 0,-4 0 0,-13-4 0,-10-2 0,-4-2-1004,15-2 0,-3-2 0,-1-1 1,0 0 1003,5-1 0,-1-1 0,1-1 0,-2 0 0,-8 0 0,-2-1 0,1 0 0,7 0 0,4 1 0,5 0 0,4 1 0,-23 2 0,10 1 0,35 2 0,8 0 0,-4 0 0,44 4 0,-16-2 0,-1 5 4015,-14-2-4015,-2-2 0,-51 7 0,27-8 0,-23 5 0,55-7 0,16 0 0,7 0 0,-2 0 0,-32-1 0,-18-1 0,-19 1 0,-10 1-239,2-2 0,-7 1 0,-2 0 239,15 0 0,-3 1 0,2 1 0,7-1 0,-25-1 0,9 2 0,4-2 0,20 5 0,44 11 0,-6 14 0,-3 4 0,2-4 0,18-16 0,12-10 0,2-4 0</inkml:trace>
  <inkml:trace contextRef="#ctx0" brushRef="#br0" timeOffset="7133">6763 388 24575,'7'28'0,"-4"45"0,-2 19 0,0-24 0,1 2 0,-1 3-301,-1 14 1,1 5 0,-2 2 300,-1-14 0,0 3 0,-1 0 0,-1-3 0,-2 13 0,-1-2 0,1 4 0,2-3 0,0 6 0,1-1 0,-1-7 0,-2-5 0,-1-6 0,3 0 0,4 11 0,2 1 0,1-19 296,0-9-296,3 2 150,1-49-150,-3-10 0,3 6 0,-3-7 455,6 13-455,-3-10 0,8 8 0,-8-9 0,1 1 0,-2-6 0,13 16 0,4 1 0,19 30 0,-4-3 0,-8 2 0,-10-18 0,-15-10 0,-2-13 0,1-1 0,-4-6 0,4 0 0,80 13 0,-13-5 0,14 3 0,-16 1 0,7 3 0,6 1 0,4-1-676,-9-5 1,4 0 0,4 0 0,2-1 0,-1 1 0,-2 0 675,13 3 0,0 0 0,-1 1 0,1-1 0,1-1 0,-10-3 0,3 0 0,0 0 0,-1-1 0,-5-1 0,-8 0-212,21 1 1,-9-2-1,-8 0 212,10 0 0,-23-1 0,-45-5 0,-18 0 0,40-5 0,45 0 0,-27 1 0,7-3 0,28-7 0,1-3 1947,-28 6 0,-1-2-1947,27-10 0,-3-1 0,-38 10 0,-1-1 0,38-6 0,-2 2 792,7-1-792,-34 9 0,-2 1 0,5 0 0,-16 6 0,7 1 0,34-3 0,14-1-379,-35 3 1,5 1 0,3 0 0,5 1 378,6 0 0,5 1 0,4 0 0,-1 0 0,-5-1-469,5 0 1,-2-1 0,-2 0 0,-1 0 468,0 3 0,2 0 0,-6 0 0,-13-1 0,-1-2 0,-15 1 0,-4 2 0,-39 0 0,-5 0 0,-3 0 1363,5 0-1363,-6 0 2023,13 4-2023,-10-3 0,3 3 0,-8-4 0,-4 2 0,-2 0 0,0 1 0,-2-1 0</inkml:trace>
  <inkml:trace contextRef="#ctx0" brushRef="#br0" timeOffset="9067">6710 473 24575,'42'-4'0,"42"-15"0,-20 11 0,12 3 0,-2-2 0,20-6 0,2 1 0,-14 5 0,3 2 0,-8 0 0,-9 2 0,-7 1 0,39 2 0,-50 0 0,7 0 0,20-1 0,11-1 0,0 0 0,-9-1 0,-1-1 0,6-1-464,1 0 0,6 0 1,1-2-1,-4 0 464,12-4 0,-3-2 0,-1 1 0,1 0 0,-1 0 0,-7 0 0,3-3 0,-9 2 0,-10 5 0,-17 1 0,-37 3 0,65-9 0,-12 4-575,6 0 0,27-2 1,8 0-1,-12 0 575,-8 0 0,-6 0 0,8-1 0,-6 1 0,11-2 0,2 0 0,-6 1 0,-14 0 0,19-3 0,-16 0 813,-11-1 0,-25 3-813,-45 11 0,2 0 0,14 2 0,8 0 0,9 3 2528,-7 0-2528,-3 3 0,-8-2 0,10 1 0,-4-2 0,19 4 0,-22-5 0,8 7 0,-14-6 0,17 5 0,18-1 0,33-2 0,-6 0 0,6-1 0,-15-3 0,0-1 0,13 3 0,-2-1 0,-22-2 0,-4 0 0,35 4 0,1-2 0,-17 5 0,-33-8 0,-21 6 0,-17-5 0,-2 4 0,-3 3 0,-6-5 0,-3 5 0,3-7 0,2 2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16:46:19.87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6951 112 24575,'64'15'0,"1"-1"0,10 10 0,7 0 0,-3-4 0,7 0 0,1-2-580,0 0 0,1-2 0,2-2 580,-15-3 0,3 0 0,0-2 0,-1-3 0,21-4 0,0-4 0,-6-2 0,7 0 0,-1-5 112,0-9 0,6-5 0,-17 0-112,-33 6 0,-5-1 0,37-9 0,-21 1 342,-57 15-342,-29-17 0,-12-8 0,-6-3 881,-10 11-881,12 21 181,-29 5-181,22 1 0,-6-4 0,23 2 0,19 0 0,82 18 0,-7 6 0,4 5 0,-5-4 0,-1 5 0,13 15 0,-11 11 0,-35 6 0,-11 4 0,11 29 0,-14-38 0,-9-6 0,-25-9 0,2-26 0,-21 6 0,-16-16 0,2 1 0,-4 0 0,3-1 0,14-1 0,-24 8 0,58-10 0,2 2 0</inkml:trace>
  <inkml:trace contextRef="#ctx0" brushRef="#br0" timeOffset="1910">1174 561 24575,'-4'2'0,"-59"30"0,12-2 0,-7 1 0,-12 0 0,-1 0 0,12 0 0,5-4 0,-27-5 0,48-19 0,0 0 0,-41-3 0,16 5 0,8-4 0,-1-1 0,-11 3 0,12-6 0,30-4 0,-4-16 0,2-13 0,3 8 0,21-19 0,14 25 0,12-12 0,7-7 0,-20 23 0,6-7 0,-19 23 0,-2 1 0,-3 6 0,-13 5 0,3-3 0,-6 5 0,12-10 0,3 4 0,0-6 0,2 2 0,-2 0 0,-2 2 0,-8 16 0,-9 12 0,-15 30 0,-2-7 0,0 2 0,18-33 0,8-10 0,6-8 0,5-1 0,-3-1 0,10-2 0,10-4 0,7 2 0,29 0 0,42 9 0,-3-6 0,-32 3 0,-1 2 0,30 0 0,-24 8 0,-13-4 0,-22 1 0,-20-10 0,-1 3 0,-4-6 0,-2 2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16:46:27.7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340 0 24575,'-5'58'0,"2"9"0,0 13 0,0-9 0,-1 6 0,0 10-1401,-1-2 0,-1 9 0,0 6 0,0 1 0,0-4 1401,1-8 0,1-2 0,0 1 0,0 1 0,-1 3 0,-1-2 0,0 2 0,-1 3 0,1 0 0,0 0 0,1-1 0,0-2 0,2 0 0,0-1 0,0 1 0,0-1 0,0 0 0,-1 1 0,0-1 0,0 0 0,0 0 0,0 0 0,0 0 0,0-1 0,0 0 0,0-1 0,0 0 0,-1-1 0,1-2 0,-1 10 0,0-1 0,-1-2 0,1-3 0,0-7 479,-2 16 0,1-8 0,-1-5-479,-3 15 0,2-7 615,4-20 1,1-8-616,-9 23 0,5-17 0,0-2 0,-3-5 0,-1 24 0,-1 2 0,1-25 0,3-5 0,1-6 3759,2-29-3759,5-20 578,0-3-578,37-11 0,51 7 0,-2-2 0,5 0 0,-13 3 0,3 0 0,-6 0 0,6 1 0,-2-2 0,-7 0 0,-3-1 0,1 0 0,0 2 0,1-1 0,0 1 0,8-1 0,1-1 0,3 0 0,-8 1 0,2-1 0,3 1 0,2-1-653,-2 1 1,3 0-1,1-1 1,-1 1-1,-3-1 653,3 0 0,-3-2 0,-2 1 0,1 0 0,5 0 0,3 1 0,-8-1 0,-20-1 0,-1-4 0,-9-1 0,-7 3 0,17-3 0,17-3 0,-29 8 0,6 2 0,16 4 0,10 4 0,3 1 590,-8 0 1,2 2 0,2 0 0,2-1-591,9 0 0,4-1 0,-2 0 0,-5 1 0,2 2 0,-5 1 0,-8-4 0,5-6 0,-24-2 0,-45 1 0,5 0 0,-5 2 0,-1-2 0,-8-2 900,4 1-900,-5-6 0,1-71 0,-1 29 0,3-9 0,2-25 0,2-16 0,1 0-482,1 7 0,1 1 0,1-8 482,-2 13 0,2-8 0,1-3 0,0 0 0,0 1-569,1 4 1,0 0 0,1 0-1,-1 1 1,-1 1 568,-1 4 0,-1 0 0,-1 1 0,0 1 0,1 2 0,2-13 0,0 1 0,-1 4 0,-2 7 0,-3 10 0,-2 6 0,-1 0 0,0-34 0,-1 4 0,0 24 0,-2 1 0,-2-10 0,-2-3 0,-5-8 0,0 3 0,2 22 0,-1-2 0,-3-5 0,-2-7 0,2 4 167,3-12 0,0 0-167,0 6 0,0-5 0,-1-1 966,0-2 1,0-1 0,1 4-967,3 14 0,-1 3 0,0 1 0,-2-4 0,-2 1 0,3 10 0,-1-16 0,2 12 0,4 60 0,0 8 1054,-14 0-1054,-2 2 0,-33 6 0,-10-2 0,-7 0 0,-11 2 0,-11 5 0,-13 1 0,14-7 0,-11 0 0,-2-1 0,8 1 0,7 1 0,6 1 0,-7-1 0,-10-1 0,-11-1 0,4-1 0,16-2 0,7-4 0,6-1 0,3 3 0,-5 1 0,1-1 0,4-4 0,1 0 0,3 0 0,-14 2 0,2 0 0,-16 0 0,5 2 0,34 3 0,1 1 0,-20 2 0,-3 1 0,0 1 0,-2-2 0,-10 0 0,-5-3 0,18-3 0,-3-2 0,1 0 0,2 1 0,1 0 0,0-1 0,1-1 0,1 0 0,1 0 0,-32 4 0,13 1 0,25 0 0,6 2 0,45-3 0,-15-2 0,-42 0 0,1 4 0,1-3 0,28 3 0,40-3 0,2 2 0,2-1 0,2 0 0</inkml:trace>
  <inkml:trace contextRef="#ctx0" brushRef="#br0" timeOffset="2766">522 945 24575,'0'56'0,"0"0"0,0 29 0,0 13 0,-2-11 0,-1 11 0,0 4 0,0-2-1017,0-2 0,-1 0 0,1 0 0,-1-1 1017,0-6 0,-1 0 0,0-2 0,0-4 0,-2 11 0,0-5 0,0-12 628,2-17 1,0-9-629,-4 34 664,6-56-664,3-19 0,0-12 0,4 1 2147,10-6-2147,20 4 0,51-19 0,-15 18 0,6 0 0,6-11 0,3-1 0,-18 10 0,2 3 0,0-1-176,-2-2 1,0 0 0,-1 1 175,28 0 0,4 1 0,-11 2 0,5 0 0,-8 0 0,-1-2 0,-3-1 0,-2 0 0,5-1 0,-9 0 0,-6-1 0,-6-2 0,8-3 0,-4 0 0,25 0 0,-42 0 0,-10 7 526,7-5-526,28 3 0,-20 0 0,1 1 0,-5 2 0,0 0 0,6 4 0,1 1 0,40 3 0,-37 2 0,6 0 0,-26 1 0,10 3 0,-9-1 0,-3 0 0,-23-9 0,5 5 0,-10-6 0,4 3 0,-8-8 0,1 3 0,1-6 0,3 4 0,-4-3 0,7-1 0,-7 4 0,4-2 0,-5 4 0,-4-2 0,34-75 0,-24 33 0,-1-8 0,5-23 0,1-14 0,-2 0 0,-6 11 0,-2 1 0,-1-2 0,0-9 0,-1-1 0,1 2 0,1 7 0,1 1 0,-2 4 0,-2-11 0,0 3 0,4-4 0,-2 3 0,-4 15 0,-4 3 0,-3 6 0,-1 5 0,0-23 0,-8 25 0,5 22 0,6 15 0,-4-4 0,7 9 0,-10 7 0,5 4 0,-10 1 0,8 0 0,-26 3 0,7 0 0,-26 5 0,-29 7 0,7-4 0,10 2 0,-4 1 0,6-3 0,-1 1 0,-25 9 0,-3 3 0,6-5 0,-1 2 0,-9 5 0,4-1 0,29-10 0,3-2 0,-2 2 0,0-1 0,-3-1 0,0-2 0,9-2 0,-2 0 0,-12 3 0,-2 0 0,-5 0 0,-4 3 0,4 3 0,-5 5 0,2-2 0,13-7 0,3 0 0,-4 1 0,-25 11 0,-3 3 0,14-5 0,-14 2 0,-1 1 0,65-17 0,15-10 0,1-3 0,-10 1 0,9-1 0,-5-1 0,7 2 0,6-2 0,-3-3 0,-2-5 0,-17-31 0,10 9 0,-10-15 0,23 30 0,-1-2 0,-2-11 0,1 11 0,-2-5 0,7 23 0,4 4 0</inkml:trace>
  <inkml:trace contextRef="#ctx0" brushRef="#br0" timeOffset="5449">658 3443 24575,'3'60'0,"-1"0"0,1-2 0,1 3 0,-1 17 0,0 9 0,2-5 0,2 6 0,-3-3 0,-2-15 0,-2-1 0,1 2 0,3 16 0,0 2 0,-1-12 0,-2-20 0,-2-6 0,-2 7 0,-2-4 0,-5 8 0,-5 14 0,4-47 0,5-2 0,4-27 0,4 2 0,0-4 0,35-10 0,-13 9 0,59-13 0,-28 11 0,4 0 0,18-3 0,4-1 0,-9 1 0,6-1 0,11 2 0,10 0 0,-10 1 0,-13-1 0,2 2 0,2 2 0,12 2 0,1 0 0,-9 0 0,19-1 0,-7 0 0,-26 2 0,1 1 0,-5-1 0,8 0 0,-5-1 0,2-4 0,-1 1 0,-13 3 0,1 1 0,16-2 0,-1 0 0,22 2 0,-13-4 0,17-5 0,-46 4 0,-1-1 0,46-8 0,-46 7 0,-5 1 0,5-3 0,-5-1 0,-20 7 0,-7 1 0,-3 2 0,-11-2 0,-4 0 0,1-45 0,-1-23 0,4-3 0,0-6 0,0 4 0,0-7 0,0-2 0,0-9 0,0-2 0,0 4 0,0 22 0,-1 3 0,0 1 0,1-31 0,-1 7 0,-2 30 0,-1 6 0,3-29 0,-5 27 0,0 9 0,0 28 0,-4-1 0,3 0 0,-2 0 0,1 11 0,-4 4 0,-12 0 0,4-1 0,-26-4 0,-22 2 0,5 1 0,-35 3 0,-13 2 0,28 1 0,-3 0-1163,-6 0 1,-8 0-1,6 0 1163,-3 0 0,4 0-59,-11-4 0,3-1 59,29 4 0,4 0 0,7-4 0,4 1 0,-14 4 0,40 0 0,-35 6 0,-9 8 0,-27 4 0,32 1 0,-3 1 0,-4-3 0,1-1 1731,10 1 1,1-2-1732,-15 0 0,7-3 0,17-2 143,-26 4-143,3-6 0,21 0 0,-5-2 0,-5 8 0,12 0 0,-17 3 0,29-5 0,22-8 0,14 0 0,0-2 0,2 0 0,0 0 0</inkml:trace>
  <inkml:trace contextRef="#ctx0" brushRef="#br0" timeOffset="7766">2110 2053 24575,'4'-6'0,"4"-2"0,3-1 0,5-1 0,9-19 0,2-17 0,1-6 0,-7 1 0,-4-4 0,-4-20 0,8-15 0,-21 45 0,-41-4 0,14 24 0,-48-33 0,45 31 0,-4 0 0,27 18 0,2 5 0,2 2 0,1 4 0,0 0 0,0 1 0,2 2 0,-2 0 0,4-2 0,-2-2 0,2-1 0,-2 0 0,0 4 0,-3 2 0,-9 37 0,-1-15 0,-3 26 0,8-34 0,2 3 0,4-11 0,-1-2 0,1-6 0,8-35 0,2 2 0,12-51 0,-9 44 0,3-22 0,-9 49 0,1 2 0,17 11 0,-6 2 0,22 3 0,-21-7 0,8 2 0,-6-2 0,-5-2 0,3 0 0,-12 0 0,-1 2 0,-3 0 0,-2 1 0,0-2 0</inkml:trace>
  <inkml:trace contextRef="#ctx0" brushRef="#br0" timeOffset="9583">2373 3957 24575,'-2'-1'0,"0"1"0,-26 49 0,7-9 0,-14 18 0,-7 5 0,7-16 0,0-2 0,0 0 0,1-3 0,-16 8 0,39-42 0,9-9 0,0 0 0,3-3 0,-2-1 0,5-30 0,-7-14 0,4-12 0,-4 10 0,3 17 0,0 19 0,-4-25 0,1 24 0,-2-15 0,1 22 0,-1 2 0,3 4 0,2 4 0,-1 15 0,-2 29 0,-7 4 0,-2 6 0,2 1 0,0-1 0,-2-4 0,0-5 0,1 16 0,8-51 0,5-3 0,-1-4 0,4-4 0,9 2 0,1-2 0,18 3 0,-2 1 0,25 3 0,-1 1 0,-4-4 0,-20 0 0,-13-6 0,-13 1 0,3-3 0,-6 6 0,0-2 0,-2 3 0,0-2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16:46:45.1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24575,'0'22'0,"0"23"0,5 48-1048,-3-31 1,0 14 0,0 11-1,0 4 1,-1 0 1047,1 1 0,-1 5 0,0 2 0,0 3 0,0 0 0,1-1-565,-1-11 0,0 1 0,1 1 0,-1 0 0,0 0 0,0 0 0,0 0 565,-1 1 0,-1 0 0,0 2 0,0-2 0,0-1 0,0-1 0,0-3 0,0 17 0,-1-2 0,1-3 0,-1-3 0,1-4 46,-1 0 0,0-6 0,1-1 0,-1 5-46,1-4 0,-1 4 0,1 1 0,0-3 0,0-8 0,0 9 0,1-7 0,1-1 0,3 3 0,1-1 0,0-5 0,-2 6 0,1-5 912,4-9 1,-1-8-913,-3 7 4637,-4-35-4637,2-17 2546,-2-16-2546,4-3 0,54-6 0,21 3 0,17 1 0,-10 0 0,9 0 0,11 2-823,-28 2 0,8 1 0,6 1 0,4 0 0,0 1 0,0-1 0,-5-1 823,6 1 0,-1-1 0,-2 1 0,2-1 0,1 0 0,5 1 0,-10-1 0,3 1 0,1 0 0,3 0 0,0 0 0,2 0 0,0-1 0,0-1-486,-3-1 0,1 0 0,1 0 0,1-1 0,0 0 0,0-1 0,0 1 0,-2-1 0,-2 0 486,3 0 0,-2-1 0,-2 1 0,-1-1 0,2 0 0,0 0 0,3-1 0,3 1 0,-12-1 0,3 1 0,2-1 0,3 0 0,0 0 0,1 0 0,-1 0 0,-2-1 0,-3 1 0,-3 0 0,-5 0 0,16-1 0,-4 0 0,-4 0 0,-2 0 0,-2 0 0,-1-1 0,0 0 0,8-2 0,1-1 0,-1-1 0,-4 1 0,-6 0 0,-10 1 0,10-1 0,-11 1 0,-8-1 0,-1-4 0,-9 1 0,13 10 0,27 2 4050,-33-2-4050,4-9 6085,-41-1-6085,5-7 0,41-7 0,6 8 0,-6 7 0,2 2 0,-24 2 0,-4 2 0,50 4 0,-63-2 0,-30 2 0,-7 0 0,2-56 0,4 8 0,0-7 0,-2-21 0,-2-13 0,3 14 0,0-10 0,0-2 0,-2 4-872,-3-7 1,-2 3 0,0-6 871,2-1 0,0-7 0,1 0 0,-2 7 0,-2 5 0,-2 5 0,2-4-401,1-2 1,1-7-1,0 1 1,0 8 400,1 6 0,0 7 0,0-3-83,-1-19 1,0-4 0,0 13 82,0 15 0,1 11 0,-3-14 0,-1 33 2344,5 32-2344,-6-11 1808,5-21-1808,-4 7 311,5-19-311,0 23 0,-6-47 0,3 30 0,0-1 0,-2 3 0,1-4 0,-2-23 0,0 1 0,-6-11 0,9 33 0,-1 2 0,-8-14 0,3 17 0,-7-8 0,-3-12 0,-3 1 0,10 24 0,1 8 0,-5-39 0,-1 21 0,5 0 0,1 1 0,-3 3 0,7 20 0,6 16 0,-2 10 0,2 0 0,-1 4 0,-20-2 0,-8 2 0,-30-3 0,-23-1 0,4-1 0,-4 0 0,-3 0 0,16 1 0,-6 1 0,-3-1 0,3 0 0,-13-3 0,1-1 0,5 2-278,-9 3 0,2 0 278,14-1 0,-3 0 0,4 2 0,-15 1 0,-2 4 0,-2 4 0,-6 3 0,3 0 0,25-3 0,3 0 0,-8 1 0,3 0 0,-8 2 0,-3 0 0,2 0 0,7-1-717,-10 1 0,8-1 0,-6-1 717,-2 1 0,-5 0 0,-3-1 0,-2-2 0,8-3 0,-4-2 0,-1-1 0,0 0 0,2 0 0,8 0 0,0 1 0,2-1 0,-3 0 0,-1-1-474,1 0 1,-2-1 0,-1-1 0,-1 1 0,2 0 0,3 0 473,-4 2 0,2 0 0,1 0 0,2 1 0,0 0 0,-18 1 0,1 0 0,1 1 0,5 1 0,-6 0 0,4 0 0,-4 2 0,4 1 0,-6 2 0,4-1 0,12 0 0,0 0 0,4 0 0,1 1 0,-4 0 0,4 1 0,-8 2 0,7-1 0,16-4 0,0 0 208,-12 0 0,6-3-208,5-3 1858,28-4-1858,14-8 3272,-4 5-3272,7-6 0,14 6 0,2 1 0,-12-10 0,-15-4 0,-9-1 0,9 3 0,14 12 0,3 3 0,-6 0 0,4 2 0,1-2 0,17 2 0</inkml:trace>
  <inkml:trace contextRef="#ctx0" brushRef="#br0" timeOffset="2383">212 807 24575,'-2'-2'0,"2"1"0,39 0 0,-7 1 0,51 0 0,5-9 0,-30 3 0,2 0 0,-6-2 0,-2 0 0,40-2 0,-28-1 0,-13 4 0,2-2 0,-4-4 0,1-2 0,15 1 0,-1 2 0,31-9 0,-41 12 0,-1 3 0,18 5 0,14-6 0,9 2 0,-41 1 0,1-2 0,5-1 0,-2 0 0,26-6 0,-47 6 0,-32 6 0,-2 4 0,0 5 0,26 50 0,-6-13 0,5 35 0,0 11 0,-4-25 0,-2 4 0,-5 0 0,-2 7 0,1 1 0,2 5 0,2 0 0,-2-1-282,-1-8 0,0 0 0,-1-2 282,-2-1 0,1-2 0,0-1 0,9 19 0,0-3 0,-3-7 0,0-2 0,-3-9 0,1 5 0,2 10 0,3 7 0,-4-9 0,-4-19 0,-1-1 0,4 17 0,3 9 0,-3-12 0,6 16 0,-5-7 0,3 4 0,-3-16 0,1 3 0,-3 1 0,0 8 0,1 1 0,4 8 0,0 2 0,-1-2 0,-5-12 0,-2-2 0,1 2 0,4 14 0,1 1 0,-3-10 0,-4-19 0,0-3 0,3 24 0,-1-2 423,-4-24 0,-1-3-423,-2-4 0,0 0 0,-1 2 0,1 1 0,-2 10 0,-1-1 0,-2-11 0,0-2 0,0 8 0,-1-5 0,-4-1 0,1-37 0,-1-13 0,2-5 0,-3-3 0,-15-21 0,10 17 0,-8-15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aj Ahmad" refreshedDate="46212.883135300923" createdVersion="8" refreshedVersion="8" minRefreshableVersion="3" recordCount="3" xr:uid="{B6325177-8921-5B4B-80E8-C67A2A25AE2D}">
  <cacheSource type="worksheet">
    <worksheetSource ref="B11:D14" sheet="08"/>
  </cacheSource>
  <cacheFields count="3">
    <cacheField name="Employee Name" numFmtId="0">
      <sharedItems/>
    </cacheField>
    <cacheField name="Salary" numFmtId="0">
      <sharedItems containsSemiMixedTypes="0" containsString="0" containsNumber="1" containsInteger="1" minValue="45000" maxValue="60000"/>
    </cacheField>
    <cacheField name="Dept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iraj"/>
    <n v="45000"/>
    <x v="0"/>
  </r>
  <r>
    <s v="Rahul"/>
    <n v="60000"/>
    <x v="0"/>
  </r>
  <r>
    <s v="Mohan"/>
    <n v="55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007CD-6516-1642-A970-EC31756EBE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1:L14" firstHeaderRow="1" firstDataRow="1" firstDataCol="1"/>
  <pivotFields count="3"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ar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C81F2-16C4-AA43-AAFC-971767DED54C}" name="Table1" displayName="Table1" ref="C6:C13" totalsRowShown="0">
  <autoFilter ref="C6:C13" xr:uid="{B75C81F2-16C4-AA43-AAFC-971767DED54C}"/>
  <tableColumns count="1">
    <tableColumn id="1" xr3:uid="{1BCB39CC-0060-EC4E-A86A-9DF4B948F47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iraj.ahmad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575B-4A32-EF4D-B49F-B91864941238}">
  <dimension ref="D2:G33"/>
  <sheetViews>
    <sheetView topLeftCell="A24" zoomScale="200" zoomScaleNormal="200" workbookViewId="0">
      <selection activeCell="B44" sqref="B44"/>
    </sheetView>
  </sheetViews>
  <sheetFormatPr baseColWidth="10" defaultRowHeight="16" x14ac:dyDescent="0.2"/>
  <sheetData>
    <row r="2" spans="7:7" x14ac:dyDescent="0.2">
      <c r="G2" t="s">
        <v>0</v>
      </c>
    </row>
    <row r="24" spans="4:7" x14ac:dyDescent="0.2">
      <c r="D24" t="s">
        <v>0</v>
      </c>
    </row>
    <row r="26" spans="4:7" x14ac:dyDescent="0.2">
      <c r="D26" t="s">
        <v>1</v>
      </c>
    </row>
    <row r="27" spans="4:7" x14ac:dyDescent="0.2">
      <c r="E27" t="s">
        <v>2</v>
      </c>
      <c r="G27" t="s">
        <v>3</v>
      </c>
    </row>
    <row r="28" spans="4:7" x14ac:dyDescent="0.2">
      <c r="F28" t="s">
        <v>4</v>
      </c>
    </row>
    <row r="29" spans="4:7" x14ac:dyDescent="0.2">
      <c r="F29" t="s">
        <v>5</v>
      </c>
    </row>
    <row r="30" spans="4:7" x14ac:dyDescent="0.2">
      <c r="F30" t="s">
        <v>6</v>
      </c>
    </row>
    <row r="31" spans="4:7" x14ac:dyDescent="0.2">
      <c r="F31" t="s">
        <v>7</v>
      </c>
    </row>
    <row r="32" spans="4:7" x14ac:dyDescent="0.2">
      <c r="F32" t="s">
        <v>8</v>
      </c>
    </row>
    <row r="33" spans="6:6" x14ac:dyDescent="0.2">
      <c r="F33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C9B5-2C8E-9C46-8123-8AB108F2818D}">
  <dimension ref="B2:N25"/>
  <sheetViews>
    <sheetView topLeftCell="A17" zoomScale="200" zoomScaleNormal="200" workbookViewId="0">
      <selection activeCell="E19" sqref="E19"/>
    </sheetView>
  </sheetViews>
  <sheetFormatPr baseColWidth="10" defaultRowHeight="16" x14ac:dyDescent="0.2"/>
  <cols>
    <col min="3" max="3" width="20.33203125" customWidth="1"/>
    <col min="5" max="5" width="14.5" bestFit="1" customWidth="1"/>
  </cols>
  <sheetData>
    <row r="2" spans="2:14" x14ac:dyDescent="0.2">
      <c r="B2" t="s">
        <v>10</v>
      </c>
    </row>
    <row r="3" spans="2:14" x14ac:dyDescent="0.2">
      <c r="E3" t="s">
        <v>14</v>
      </c>
    </row>
    <row r="4" spans="2:14" x14ac:dyDescent="0.2">
      <c r="B4" t="s">
        <v>11</v>
      </c>
    </row>
    <row r="5" spans="2:14" x14ac:dyDescent="0.2">
      <c r="E5" t="s">
        <v>15</v>
      </c>
      <c r="G5" t="s">
        <v>20</v>
      </c>
    </row>
    <row r="6" spans="2:14" x14ac:dyDescent="0.2">
      <c r="C6" t="s">
        <v>13</v>
      </c>
      <c r="E6" t="s">
        <v>16</v>
      </c>
      <c r="F6" t="s">
        <v>18</v>
      </c>
      <c r="G6" t="s">
        <v>21</v>
      </c>
    </row>
    <row r="7" spans="2:14" x14ac:dyDescent="0.2">
      <c r="C7">
        <v>123</v>
      </c>
      <c r="E7" t="s">
        <v>17</v>
      </c>
      <c r="F7" t="s">
        <v>19</v>
      </c>
      <c r="G7" t="s">
        <v>22</v>
      </c>
    </row>
    <row r="8" spans="2:14" x14ac:dyDescent="0.2">
      <c r="C8" t="s">
        <v>12</v>
      </c>
    </row>
    <row r="10" spans="2:14" x14ac:dyDescent="0.2">
      <c r="E10" t="s">
        <v>23</v>
      </c>
    </row>
    <row r="11" spans="2:14" x14ac:dyDescent="0.2">
      <c r="N11" t="s">
        <v>34</v>
      </c>
    </row>
    <row r="12" spans="2:14" x14ac:dyDescent="0.2">
      <c r="E12" t="s">
        <v>24</v>
      </c>
      <c r="F12" s="1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33</v>
      </c>
      <c r="L12" s="3" t="s">
        <v>33</v>
      </c>
      <c r="M12">
        <v>7</v>
      </c>
      <c r="N12" t="s">
        <v>36</v>
      </c>
    </row>
    <row r="13" spans="2:14" x14ac:dyDescent="0.2">
      <c r="E13" t="s">
        <v>25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M13">
        <v>7</v>
      </c>
      <c r="N13" t="s">
        <v>35</v>
      </c>
    </row>
    <row r="14" spans="2:14" x14ac:dyDescent="0.2">
      <c r="E14" t="s">
        <v>26</v>
      </c>
      <c r="M14" t="s">
        <v>32</v>
      </c>
    </row>
    <row r="16" spans="2:14" x14ac:dyDescent="0.2">
      <c r="E16" t="s">
        <v>37</v>
      </c>
    </row>
    <row r="18" spans="3:7" x14ac:dyDescent="0.2">
      <c r="E18" s="4" t="s">
        <v>38</v>
      </c>
      <c r="G18">
        <v>111</v>
      </c>
    </row>
    <row r="20" spans="3:7" x14ac:dyDescent="0.2">
      <c r="C20" s="5">
        <f ca="1">NOW()</f>
        <v>46228.910883680554</v>
      </c>
    </row>
    <row r="21" spans="3:7" x14ac:dyDescent="0.2">
      <c r="E21" t="s">
        <v>39</v>
      </c>
    </row>
    <row r="22" spans="3:7" x14ac:dyDescent="0.2">
      <c r="E22" t="s">
        <v>40</v>
      </c>
    </row>
    <row r="23" spans="3:7" x14ac:dyDescent="0.2">
      <c r="E23" t="s">
        <v>41</v>
      </c>
    </row>
    <row r="24" spans="3:7" x14ac:dyDescent="0.2">
      <c r="E24" t="s">
        <v>42</v>
      </c>
    </row>
    <row r="25" spans="3:7" x14ac:dyDescent="0.2">
      <c r="E25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501E-B810-AE4F-88C4-7F4CA8CAF68B}">
  <dimension ref="B2:L105"/>
  <sheetViews>
    <sheetView topLeftCell="A85" zoomScale="200" zoomScaleNormal="200" workbookViewId="0">
      <selection activeCell="B102" sqref="B102"/>
    </sheetView>
  </sheetViews>
  <sheetFormatPr baseColWidth="10" defaultRowHeight="16" x14ac:dyDescent="0.2"/>
  <cols>
    <col min="2" max="2" width="22.33203125" bestFit="1" customWidth="1"/>
    <col min="4" max="4" width="13.83203125" bestFit="1" customWidth="1"/>
    <col min="8" max="8" width="25.5" bestFit="1" customWidth="1"/>
  </cols>
  <sheetData>
    <row r="2" spans="2:8" x14ac:dyDescent="0.2">
      <c r="B2" t="s">
        <v>44</v>
      </c>
      <c r="C2" t="s">
        <v>50</v>
      </c>
      <c r="D2" t="s">
        <v>45</v>
      </c>
      <c r="F2" t="s">
        <v>44</v>
      </c>
      <c r="G2" t="s">
        <v>51</v>
      </c>
      <c r="H2" t="s">
        <v>45</v>
      </c>
    </row>
    <row r="3" spans="2:8" x14ac:dyDescent="0.2">
      <c r="B3">
        <v>1</v>
      </c>
      <c r="C3" t="s">
        <v>47</v>
      </c>
      <c r="D3" t="s">
        <v>46</v>
      </c>
      <c r="F3">
        <v>1</v>
      </c>
      <c r="G3" t="s">
        <v>47</v>
      </c>
      <c r="H3">
        <v>1</v>
      </c>
    </row>
    <row r="4" spans="2:8" x14ac:dyDescent="0.2">
      <c r="B4" t="s">
        <v>48</v>
      </c>
      <c r="C4">
        <v>1</v>
      </c>
      <c r="F4">
        <v>1</v>
      </c>
      <c r="G4">
        <v>1</v>
      </c>
      <c r="H4" t="s">
        <v>47</v>
      </c>
    </row>
    <row r="5" spans="2:8" x14ac:dyDescent="0.2">
      <c r="B5">
        <v>2</v>
      </c>
      <c r="C5">
        <v>2</v>
      </c>
    </row>
    <row r="6" spans="2:8" x14ac:dyDescent="0.2">
      <c r="B6">
        <v>3</v>
      </c>
      <c r="C6">
        <v>3</v>
      </c>
    </row>
    <row r="7" spans="2:8" x14ac:dyDescent="0.2">
      <c r="B7">
        <v>4</v>
      </c>
      <c r="C7">
        <v>4</v>
      </c>
    </row>
    <row r="8" spans="2:8" x14ac:dyDescent="0.2">
      <c r="B8">
        <v>5</v>
      </c>
      <c r="C8" t="s">
        <v>47</v>
      </c>
      <c r="D8">
        <v>5</v>
      </c>
    </row>
    <row r="9" spans="2:8" x14ac:dyDescent="0.2">
      <c r="B9" t="s">
        <v>48</v>
      </c>
      <c r="C9">
        <v>5</v>
      </c>
    </row>
    <row r="10" spans="2:8" x14ac:dyDescent="0.2">
      <c r="C10">
        <v>6</v>
      </c>
    </row>
    <row r="11" spans="2:8" x14ac:dyDescent="0.2">
      <c r="C11">
        <v>7</v>
      </c>
    </row>
    <row r="12" spans="2:8" x14ac:dyDescent="0.2">
      <c r="C12" t="s">
        <v>47</v>
      </c>
      <c r="D12">
        <v>8</v>
      </c>
    </row>
    <row r="13" spans="2:8" x14ac:dyDescent="0.2">
      <c r="C13" t="s">
        <v>47</v>
      </c>
      <c r="D13">
        <v>9</v>
      </c>
    </row>
    <row r="14" spans="2:8" x14ac:dyDescent="0.2">
      <c r="B14" t="s">
        <v>49</v>
      </c>
      <c r="C14">
        <v>8</v>
      </c>
    </row>
    <row r="15" spans="2:8" x14ac:dyDescent="0.2">
      <c r="B15" t="s">
        <v>49</v>
      </c>
      <c r="C15">
        <v>9</v>
      </c>
    </row>
    <row r="24" spans="2:12" x14ac:dyDescent="0.2">
      <c r="H24" t="s">
        <v>56</v>
      </c>
    </row>
    <row r="25" spans="2:12" x14ac:dyDescent="0.2">
      <c r="B25" s="6"/>
      <c r="C25" s="6"/>
      <c r="D25" s="6"/>
      <c r="E25" s="6"/>
      <c r="F25" s="6"/>
      <c r="H25" t="s">
        <v>52</v>
      </c>
      <c r="J25" s="7"/>
    </row>
    <row r="26" spans="2:12" x14ac:dyDescent="0.2">
      <c r="B26" s="6"/>
      <c r="C26" s="6"/>
      <c r="D26" s="6"/>
      <c r="E26" s="6"/>
      <c r="F26" s="6"/>
      <c r="H26" t="s">
        <v>53</v>
      </c>
      <c r="J26" s="7"/>
      <c r="L26" t="s">
        <v>55</v>
      </c>
    </row>
    <row r="27" spans="2:12" x14ac:dyDescent="0.2">
      <c r="B27" s="6"/>
      <c r="C27" s="6"/>
      <c r="D27" s="6"/>
      <c r="E27" s="6"/>
      <c r="F27" s="6"/>
      <c r="H27" t="s">
        <v>54</v>
      </c>
    </row>
    <row r="28" spans="2:12" x14ac:dyDescent="0.2">
      <c r="B28" s="6"/>
      <c r="C28" s="6"/>
      <c r="D28" s="6"/>
      <c r="E28" s="6"/>
      <c r="F28" s="6"/>
      <c r="H28" t="s">
        <v>55</v>
      </c>
      <c r="J28" s="8"/>
    </row>
    <row r="29" spans="2:12" x14ac:dyDescent="0.2">
      <c r="B29" s="6"/>
      <c r="C29" s="6"/>
      <c r="D29" s="6"/>
      <c r="E29" s="6"/>
      <c r="F29" s="6"/>
      <c r="H29" t="s">
        <v>55</v>
      </c>
      <c r="J29" s="8"/>
      <c r="L29" t="s">
        <v>55</v>
      </c>
    </row>
    <row r="30" spans="2:12" x14ac:dyDescent="0.2">
      <c r="B30" s="6"/>
      <c r="C30" s="6"/>
      <c r="D30" s="6"/>
      <c r="E30" s="6"/>
      <c r="F30" s="6"/>
    </row>
    <row r="31" spans="2:12" x14ac:dyDescent="0.2">
      <c r="B31" s="6"/>
      <c r="C31" s="6"/>
      <c r="D31" s="6"/>
      <c r="E31" s="6"/>
      <c r="F31" s="6"/>
    </row>
    <row r="32" spans="2:12" x14ac:dyDescent="0.2">
      <c r="B32" s="6"/>
      <c r="C32" s="6"/>
      <c r="D32" s="6"/>
      <c r="E32" s="6"/>
      <c r="F32" s="6"/>
    </row>
    <row r="33" spans="2:10" x14ac:dyDescent="0.2">
      <c r="B33" s="6"/>
      <c r="C33" s="6"/>
      <c r="D33" s="6"/>
      <c r="E33" s="6"/>
      <c r="F33" s="6"/>
    </row>
    <row r="34" spans="2:10" x14ac:dyDescent="0.2">
      <c r="B34" s="6"/>
      <c r="C34" s="6"/>
      <c r="D34" s="6"/>
      <c r="E34" s="6"/>
      <c r="F34" s="6"/>
    </row>
    <row r="35" spans="2:10" x14ac:dyDescent="0.2">
      <c r="B35" s="6"/>
      <c r="C35" s="6"/>
      <c r="D35" s="6"/>
      <c r="E35" s="6"/>
      <c r="F35" s="6"/>
    </row>
    <row r="36" spans="2:10" x14ac:dyDescent="0.2">
      <c r="B36" s="6"/>
      <c r="C36" s="6"/>
      <c r="D36" s="6"/>
      <c r="E36" s="6"/>
      <c r="F36" s="6"/>
      <c r="H36" t="s">
        <v>58</v>
      </c>
      <c r="J36" t="s">
        <v>57</v>
      </c>
    </row>
    <row r="37" spans="2:10" x14ac:dyDescent="0.2">
      <c r="B37" s="6"/>
      <c r="C37" s="6"/>
      <c r="D37" s="6"/>
      <c r="E37" s="6"/>
      <c r="F37" s="6"/>
      <c r="J37" t="s">
        <v>59</v>
      </c>
    </row>
    <row r="38" spans="2:10" x14ac:dyDescent="0.2">
      <c r="B38" s="6"/>
      <c r="C38" s="6"/>
      <c r="D38" s="6"/>
      <c r="E38" s="6"/>
      <c r="F38" s="6"/>
    </row>
    <row r="39" spans="2:10" x14ac:dyDescent="0.2">
      <c r="B39" s="6"/>
      <c r="C39" s="6"/>
      <c r="D39" s="6"/>
      <c r="E39" s="6"/>
      <c r="F39" s="6"/>
    </row>
    <row r="42" spans="2:10" x14ac:dyDescent="0.2">
      <c r="B42" t="s">
        <v>60</v>
      </c>
      <c r="G42" t="s">
        <v>64</v>
      </c>
    </row>
    <row r="44" spans="2:10" x14ac:dyDescent="0.2">
      <c r="B44" t="s">
        <v>61</v>
      </c>
      <c r="C44" t="s">
        <v>62</v>
      </c>
      <c r="D44" t="s">
        <v>63</v>
      </c>
      <c r="G44" t="s">
        <v>65</v>
      </c>
      <c r="H44" t="s">
        <v>61</v>
      </c>
      <c r="I44" t="s">
        <v>66</v>
      </c>
    </row>
    <row r="45" spans="2:10" x14ac:dyDescent="0.2">
      <c r="B45" t="s">
        <v>67</v>
      </c>
      <c r="G45" t="s">
        <v>67</v>
      </c>
      <c r="H45" t="s">
        <v>68</v>
      </c>
    </row>
    <row r="48" spans="2:10" x14ac:dyDescent="0.2">
      <c r="H48">
        <v>1</v>
      </c>
    </row>
    <row r="49" spans="2:9" x14ac:dyDescent="0.2">
      <c r="B49">
        <v>1</v>
      </c>
    </row>
    <row r="52" spans="2:9" x14ac:dyDescent="0.2">
      <c r="G52" t="s">
        <v>69</v>
      </c>
    </row>
    <row r="54" spans="2:9" x14ac:dyDescent="0.2">
      <c r="G54" t="s">
        <v>65</v>
      </c>
      <c r="H54" t="s">
        <v>61</v>
      </c>
      <c r="I54" t="s">
        <v>66</v>
      </c>
    </row>
    <row r="55" spans="2:9" x14ac:dyDescent="0.2">
      <c r="G55" t="s">
        <v>67</v>
      </c>
      <c r="H55" t="s">
        <v>68</v>
      </c>
    </row>
    <row r="56" spans="2:9" x14ac:dyDescent="0.2">
      <c r="H56">
        <v>1</v>
      </c>
    </row>
    <row r="57" spans="2:9" x14ac:dyDescent="0.2">
      <c r="H57">
        <v>1</v>
      </c>
    </row>
    <row r="58" spans="2:9" x14ac:dyDescent="0.2">
      <c r="B58" t="s">
        <v>70</v>
      </c>
    </row>
    <row r="59" spans="2:9" x14ac:dyDescent="0.2">
      <c r="B59" t="s">
        <v>71</v>
      </c>
      <c r="C59" t="s">
        <v>72</v>
      </c>
    </row>
    <row r="60" spans="2:9" x14ac:dyDescent="0.2">
      <c r="B60" t="s">
        <v>55</v>
      </c>
      <c r="C60">
        <v>1</v>
      </c>
    </row>
    <row r="61" spans="2:9" x14ac:dyDescent="0.2">
      <c r="B61" t="s">
        <v>55</v>
      </c>
      <c r="C61">
        <v>1</v>
      </c>
    </row>
    <row r="64" spans="2:9" x14ac:dyDescent="0.2">
      <c r="B64" t="s">
        <v>73</v>
      </c>
      <c r="F64" t="s">
        <v>61</v>
      </c>
    </row>
    <row r="65" spans="2:10" x14ac:dyDescent="0.2">
      <c r="B65" t="s">
        <v>67</v>
      </c>
      <c r="F65" t="s">
        <v>68</v>
      </c>
    </row>
    <row r="66" spans="2:10" x14ac:dyDescent="0.2">
      <c r="B66" t="s">
        <v>16</v>
      </c>
      <c r="C66">
        <v>1</v>
      </c>
      <c r="F66" t="s">
        <v>16</v>
      </c>
    </row>
    <row r="67" spans="2:10" x14ac:dyDescent="0.2">
      <c r="B67" t="s">
        <v>74</v>
      </c>
      <c r="C67" t="s">
        <v>75</v>
      </c>
    </row>
    <row r="70" spans="2:10" x14ac:dyDescent="0.2">
      <c r="B70" t="s">
        <v>76</v>
      </c>
      <c r="E70" t="s">
        <v>79</v>
      </c>
    </row>
    <row r="71" spans="2:10" x14ac:dyDescent="0.2">
      <c r="B71" t="s">
        <v>77</v>
      </c>
      <c r="C71" t="s">
        <v>78</v>
      </c>
      <c r="E71" t="s">
        <v>80</v>
      </c>
      <c r="F71" t="s">
        <v>81</v>
      </c>
      <c r="G71" t="s">
        <v>77</v>
      </c>
      <c r="I71" t="s">
        <v>82</v>
      </c>
      <c r="J71" t="s">
        <v>83</v>
      </c>
    </row>
    <row r="72" spans="2:10" x14ac:dyDescent="0.2">
      <c r="B72" t="s">
        <v>67</v>
      </c>
      <c r="E72" t="s">
        <v>67</v>
      </c>
      <c r="G72" t="s">
        <v>68</v>
      </c>
      <c r="I72" t="s">
        <v>84</v>
      </c>
      <c r="J72" t="s">
        <v>79</v>
      </c>
    </row>
    <row r="73" spans="2:10" x14ac:dyDescent="0.2">
      <c r="B73">
        <v>1</v>
      </c>
      <c r="E73">
        <v>1</v>
      </c>
      <c r="G73">
        <v>1</v>
      </c>
    </row>
    <row r="74" spans="2:10" x14ac:dyDescent="0.2">
      <c r="B74">
        <v>2</v>
      </c>
      <c r="E74">
        <v>2</v>
      </c>
      <c r="G74">
        <v>2</v>
      </c>
    </row>
    <row r="75" spans="2:10" x14ac:dyDescent="0.2">
      <c r="B75">
        <v>3</v>
      </c>
      <c r="E75">
        <v>3</v>
      </c>
      <c r="G75">
        <v>2</v>
      </c>
    </row>
    <row r="76" spans="2:10" x14ac:dyDescent="0.2">
      <c r="E76">
        <v>4</v>
      </c>
      <c r="G76">
        <v>3</v>
      </c>
      <c r="I76" t="s">
        <v>85</v>
      </c>
    </row>
    <row r="81" spans="2:9" x14ac:dyDescent="0.2">
      <c r="B81" t="s">
        <v>86</v>
      </c>
    </row>
    <row r="84" spans="2:9" x14ac:dyDescent="0.2">
      <c r="B84" t="s">
        <v>87</v>
      </c>
      <c r="C84" t="s">
        <v>88</v>
      </c>
    </row>
    <row r="88" spans="2:9" x14ac:dyDescent="0.2">
      <c r="G88" t="s">
        <v>67</v>
      </c>
    </row>
    <row r="89" spans="2:9" x14ac:dyDescent="0.2">
      <c r="B89" t="s">
        <v>89</v>
      </c>
      <c r="D89" t="s">
        <v>91</v>
      </c>
      <c r="E89" t="s">
        <v>92</v>
      </c>
      <c r="F89" t="s">
        <v>93</v>
      </c>
      <c r="H89" t="s">
        <v>94</v>
      </c>
      <c r="I89" t="s">
        <v>95</v>
      </c>
    </row>
    <row r="90" spans="2:9" x14ac:dyDescent="0.2">
      <c r="G90" t="s">
        <v>68</v>
      </c>
    </row>
    <row r="92" spans="2:9" x14ac:dyDescent="0.2">
      <c r="G92" t="s">
        <v>67</v>
      </c>
    </row>
    <row r="93" spans="2:9" x14ac:dyDescent="0.2">
      <c r="F93" t="s">
        <v>93</v>
      </c>
      <c r="H93" t="s">
        <v>96</v>
      </c>
      <c r="I93" t="s">
        <v>97</v>
      </c>
    </row>
    <row r="94" spans="2:9" x14ac:dyDescent="0.2">
      <c r="G94" t="s">
        <v>68</v>
      </c>
    </row>
    <row r="96" spans="2:9" x14ac:dyDescent="0.2">
      <c r="G96" t="s">
        <v>67</v>
      </c>
    </row>
    <row r="97" spans="2:11" x14ac:dyDescent="0.2">
      <c r="F97" t="s">
        <v>98</v>
      </c>
      <c r="H97" t="s">
        <v>99</v>
      </c>
      <c r="I97" t="s">
        <v>100</v>
      </c>
    </row>
    <row r="98" spans="2:11" x14ac:dyDescent="0.2">
      <c r="G98" t="s">
        <v>68</v>
      </c>
    </row>
    <row r="102" spans="2:11" x14ac:dyDescent="0.2">
      <c r="B102" t="s">
        <v>90</v>
      </c>
      <c r="I102" s="71" t="s">
        <v>101</v>
      </c>
      <c r="J102" s="71"/>
      <c r="K102" s="71"/>
    </row>
    <row r="103" spans="2:11" x14ac:dyDescent="0.2">
      <c r="B103" t="s">
        <v>102</v>
      </c>
      <c r="I103" s="71"/>
      <c r="J103" s="71"/>
      <c r="K103" s="71"/>
    </row>
    <row r="104" spans="2:11" x14ac:dyDescent="0.2">
      <c r="I104" s="71"/>
      <c r="J104" s="71"/>
      <c r="K104" s="71"/>
    </row>
    <row r="105" spans="2:11" x14ac:dyDescent="0.2">
      <c r="I105" s="71"/>
      <c r="J105" s="71"/>
      <c r="K105" s="71"/>
    </row>
  </sheetData>
  <mergeCells count="1">
    <mergeCell ref="I102:K10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72D2-80C2-1542-89AB-245B6BCA7E13}">
  <dimension ref="B2:O58"/>
  <sheetViews>
    <sheetView topLeftCell="C44" zoomScale="200" zoomScaleNormal="200" workbookViewId="0">
      <selection activeCell="D48" sqref="D48"/>
    </sheetView>
  </sheetViews>
  <sheetFormatPr baseColWidth="10" defaultRowHeight="16" x14ac:dyDescent="0.2"/>
  <cols>
    <col min="1" max="1" width="4.33203125" customWidth="1"/>
    <col min="2" max="2" width="17.1640625" bestFit="1" customWidth="1"/>
    <col min="3" max="3" width="32.5" bestFit="1" customWidth="1"/>
    <col min="6" max="6" width="41.33203125" bestFit="1" customWidth="1"/>
    <col min="7" max="7" width="17.6640625" bestFit="1" customWidth="1"/>
    <col min="8" max="8" width="12" bestFit="1" customWidth="1"/>
  </cols>
  <sheetData>
    <row r="2" spans="2:15" x14ac:dyDescent="0.2">
      <c r="B2" t="s">
        <v>103</v>
      </c>
    </row>
    <row r="4" spans="2:15" x14ac:dyDescent="0.2">
      <c r="C4" t="s">
        <v>104</v>
      </c>
    </row>
    <row r="5" spans="2:15" x14ac:dyDescent="0.2">
      <c r="D5" t="s">
        <v>105</v>
      </c>
      <c r="E5" t="s">
        <v>106</v>
      </c>
      <c r="F5" t="s">
        <v>107</v>
      </c>
    </row>
    <row r="6" spans="2:15" ht="17" thickBot="1" x14ac:dyDescent="0.25"/>
    <row r="7" spans="2:15" x14ac:dyDescent="0.2">
      <c r="B7" t="s">
        <v>108</v>
      </c>
      <c r="D7" s="10"/>
      <c r="E7" s="11"/>
      <c r="F7" s="11"/>
      <c r="G7" s="11"/>
      <c r="H7" s="11"/>
      <c r="I7" s="11"/>
      <c r="J7" s="11"/>
      <c r="K7" s="11"/>
      <c r="L7" s="12"/>
      <c r="N7" t="s">
        <v>109</v>
      </c>
    </row>
    <row r="8" spans="2:15" x14ac:dyDescent="0.2">
      <c r="D8" s="13"/>
      <c r="E8" s="8"/>
      <c r="F8" s="8"/>
      <c r="G8" s="8"/>
      <c r="H8" s="8"/>
      <c r="I8" s="8"/>
      <c r="J8" s="8"/>
      <c r="K8" s="8"/>
      <c r="L8" s="14"/>
    </row>
    <row r="9" spans="2:15" x14ac:dyDescent="0.2">
      <c r="B9" t="s">
        <v>110</v>
      </c>
      <c r="D9" s="13"/>
      <c r="E9" s="8"/>
      <c r="F9" s="8"/>
      <c r="G9" s="8"/>
      <c r="H9" s="8"/>
      <c r="I9" s="8"/>
      <c r="J9" s="8"/>
      <c r="K9" s="8"/>
      <c r="L9" s="14"/>
      <c r="N9" t="s">
        <v>110</v>
      </c>
      <c r="O9" t="s">
        <v>10</v>
      </c>
    </row>
    <row r="10" spans="2:15" x14ac:dyDescent="0.2">
      <c r="D10" s="13"/>
      <c r="E10" s="8"/>
      <c r="F10" s="8"/>
      <c r="G10" s="8"/>
      <c r="H10" s="8"/>
      <c r="I10" s="8"/>
      <c r="J10" s="8"/>
      <c r="K10" s="8"/>
      <c r="L10" s="14"/>
    </row>
    <row r="11" spans="2:15" x14ac:dyDescent="0.2">
      <c r="B11" t="s">
        <v>111</v>
      </c>
      <c r="D11" s="13"/>
      <c r="E11" s="8"/>
      <c r="F11" s="8"/>
      <c r="G11" s="8"/>
      <c r="H11" s="8"/>
      <c r="I11" s="8"/>
      <c r="J11" s="8"/>
      <c r="K11" s="8"/>
      <c r="L11" s="14"/>
      <c r="N11" s="71" t="s">
        <v>114</v>
      </c>
      <c r="O11" t="s">
        <v>115</v>
      </c>
    </row>
    <row r="12" spans="2:15" x14ac:dyDescent="0.2">
      <c r="B12" t="s">
        <v>112</v>
      </c>
      <c r="D12" s="13"/>
      <c r="E12" s="8"/>
      <c r="F12" s="8"/>
      <c r="G12" s="8"/>
      <c r="H12" s="8"/>
      <c r="I12" s="8"/>
      <c r="J12" s="8"/>
      <c r="K12" s="8"/>
      <c r="L12" s="14"/>
      <c r="N12" s="71"/>
      <c r="O12" t="s">
        <v>116</v>
      </c>
    </row>
    <row r="13" spans="2:15" x14ac:dyDescent="0.2">
      <c r="B13" t="s">
        <v>113</v>
      </c>
      <c r="D13" s="13"/>
      <c r="E13" s="8"/>
      <c r="F13" s="8"/>
      <c r="G13" s="8"/>
      <c r="H13" s="8"/>
      <c r="I13" s="8"/>
      <c r="J13" s="8"/>
      <c r="K13" s="8"/>
      <c r="L13" s="14"/>
      <c r="N13" s="71"/>
      <c r="O13" t="s">
        <v>117</v>
      </c>
    </row>
    <row r="14" spans="2:15" x14ac:dyDescent="0.2">
      <c r="D14" s="13"/>
      <c r="E14" s="8"/>
      <c r="F14" s="8"/>
      <c r="G14" s="8"/>
      <c r="H14" s="8"/>
      <c r="I14" s="8"/>
      <c r="J14" s="8"/>
      <c r="K14" s="8"/>
      <c r="L14" s="14"/>
    </row>
    <row r="15" spans="2:15" x14ac:dyDescent="0.2">
      <c r="D15" s="13"/>
      <c r="E15" s="8"/>
      <c r="F15" s="8"/>
      <c r="G15" s="8"/>
      <c r="H15" s="8"/>
      <c r="I15" s="8"/>
      <c r="J15" s="8"/>
      <c r="K15" s="8"/>
      <c r="L15" s="14"/>
      <c r="N15" t="s">
        <v>119</v>
      </c>
      <c r="O15" t="s">
        <v>120</v>
      </c>
    </row>
    <row r="16" spans="2:15" x14ac:dyDescent="0.2">
      <c r="B16" t="s">
        <v>118</v>
      </c>
      <c r="D16" s="13"/>
      <c r="E16" s="8"/>
      <c r="F16" s="8"/>
      <c r="G16" s="8"/>
      <c r="H16" s="8"/>
      <c r="I16" s="8"/>
      <c r="J16" s="8"/>
      <c r="K16" s="8"/>
      <c r="L16" s="14"/>
    </row>
    <row r="17" spans="3:15" x14ac:dyDescent="0.2">
      <c r="D17" s="13"/>
      <c r="E17" s="8"/>
      <c r="F17" s="8"/>
      <c r="G17" s="8"/>
      <c r="H17" s="8"/>
      <c r="I17" s="8"/>
      <c r="J17" s="8"/>
      <c r="K17" s="8"/>
      <c r="L17" s="14"/>
      <c r="N17" t="s">
        <v>121</v>
      </c>
      <c r="O17" t="s">
        <v>122</v>
      </c>
    </row>
    <row r="18" spans="3:15" x14ac:dyDescent="0.2">
      <c r="D18" s="15"/>
      <c r="E18" s="16"/>
      <c r="F18" s="16"/>
      <c r="I18" s="16"/>
      <c r="J18" s="16"/>
      <c r="K18" s="16"/>
      <c r="L18" s="19"/>
      <c r="O18" t="s">
        <v>123</v>
      </c>
    </row>
    <row r="19" spans="3:15" x14ac:dyDescent="0.2">
      <c r="D19" s="15"/>
      <c r="E19" s="16"/>
      <c r="F19" s="16"/>
      <c r="I19" s="16"/>
      <c r="J19" s="16"/>
      <c r="K19" s="16"/>
      <c r="L19" s="19"/>
    </row>
    <row r="20" spans="3:15" x14ac:dyDescent="0.2">
      <c r="D20" s="15"/>
      <c r="E20" s="16"/>
      <c r="F20" s="16"/>
      <c r="I20" s="16"/>
      <c r="J20" s="16"/>
      <c r="K20" s="16"/>
      <c r="L20" s="19"/>
      <c r="N20" t="s">
        <v>124</v>
      </c>
      <c r="O20" t="s">
        <v>125</v>
      </c>
    </row>
    <row r="21" spans="3:15" x14ac:dyDescent="0.2">
      <c r="D21" s="15"/>
      <c r="E21" s="16"/>
      <c r="F21" s="16"/>
      <c r="I21" s="16"/>
      <c r="J21" s="16"/>
      <c r="K21" s="16"/>
      <c r="L21" s="19"/>
      <c r="O21" t="s">
        <v>126</v>
      </c>
    </row>
    <row r="22" spans="3:15" x14ac:dyDescent="0.2">
      <c r="D22" s="15"/>
      <c r="E22" s="16"/>
      <c r="F22" s="16"/>
      <c r="I22" s="16"/>
      <c r="J22" s="16"/>
      <c r="K22" s="16"/>
      <c r="L22" s="19"/>
      <c r="O22" t="s">
        <v>127</v>
      </c>
    </row>
    <row r="23" spans="3:15" ht="17" thickBot="1" x14ac:dyDescent="0.25">
      <c r="D23" s="17"/>
      <c r="E23" s="18"/>
      <c r="F23" s="18"/>
      <c r="G23" s="9"/>
      <c r="H23" s="9"/>
      <c r="I23" s="18"/>
      <c r="J23" s="18"/>
      <c r="K23" s="18"/>
      <c r="L23" s="20"/>
      <c r="O23" t="s">
        <v>128</v>
      </c>
    </row>
    <row r="26" spans="3:15" x14ac:dyDescent="0.2">
      <c r="C26" t="s">
        <v>129</v>
      </c>
      <c r="D26">
        <v>1000000</v>
      </c>
    </row>
    <row r="27" spans="3:15" x14ac:dyDescent="0.2">
      <c r="C27" t="s">
        <v>130</v>
      </c>
      <c r="D27">
        <v>50000</v>
      </c>
      <c r="F27" t="s">
        <v>138</v>
      </c>
      <c r="G27" t="s">
        <v>139</v>
      </c>
    </row>
    <row r="28" spans="3:15" x14ac:dyDescent="0.2">
      <c r="C28" t="s">
        <v>131</v>
      </c>
      <c r="D28">
        <v>2000</v>
      </c>
    </row>
    <row r="29" spans="3:15" x14ac:dyDescent="0.2">
      <c r="C29" t="s">
        <v>132</v>
      </c>
      <c r="D29">
        <v>300</v>
      </c>
      <c r="I29" t="s">
        <v>140</v>
      </c>
      <c r="J29" t="s">
        <v>145</v>
      </c>
    </row>
    <row r="30" spans="3:15" x14ac:dyDescent="0.2">
      <c r="C30" t="s">
        <v>133</v>
      </c>
      <c r="D30">
        <v>80</v>
      </c>
      <c r="I30" t="s">
        <v>141</v>
      </c>
      <c r="J30" t="s">
        <v>146</v>
      </c>
    </row>
    <row r="31" spans="3:15" x14ac:dyDescent="0.2">
      <c r="C31" t="s">
        <v>134</v>
      </c>
      <c r="D31">
        <v>60</v>
      </c>
      <c r="I31" t="s">
        <v>142</v>
      </c>
      <c r="J31" t="s">
        <v>147</v>
      </c>
    </row>
    <row r="32" spans="3:15" x14ac:dyDescent="0.2">
      <c r="C32" t="s">
        <v>135</v>
      </c>
    </row>
    <row r="33" spans="3:8" x14ac:dyDescent="0.2">
      <c r="C33" t="s">
        <v>136</v>
      </c>
      <c r="G33" t="s">
        <v>143</v>
      </c>
    </row>
    <row r="34" spans="3:8" x14ac:dyDescent="0.2">
      <c r="C34" t="s">
        <v>137</v>
      </c>
    </row>
    <row r="35" spans="3:8" x14ac:dyDescent="0.2">
      <c r="G35" t="s">
        <v>144</v>
      </c>
    </row>
    <row r="37" spans="3:8" x14ac:dyDescent="0.2">
      <c r="D37">
        <v>10</v>
      </c>
    </row>
    <row r="38" spans="3:8" x14ac:dyDescent="0.2">
      <c r="E38" t="s">
        <v>148</v>
      </c>
    </row>
    <row r="39" spans="3:8" x14ac:dyDescent="0.2">
      <c r="E39" t="s">
        <v>149</v>
      </c>
    </row>
    <row r="40" spans="3:8" x14ac:dyDescent="0.2">
      <c r="E40" t="s">
        <v>150</v>
      </c>
    </row>
    <row r="44" spans="3:8" x14ac:dyDescent="0.2">
      <c r="C44" t="s">
        <v>151</v>
      </c>
    </row>
    <row r="46" spans="3:8" x14ac:dyDescent="0.2">
      <c r="D46" t="s">
        <v>152</v>
      </c>
      <c r="F46" t="s">
        <v>155</v>
      </c>
      <c r="H46" t="s">
        <v>156</v>
      </c>
    </row>
    <row r="48" spans="3:8" x14ac:dyDescent="0.2">
      <c r="D48" t="s">
        <v>153</v>
      </c>
      <c r="F48" t="s">
        <v>157</v>
      </c>
      <c r="H48" s="71" t="s">
        <v>160</v>
      </c>
    </row>
    <row r="49" spans="4:10" x14ac:dyDescent="0.2">
      <c r="F49" t="s">
        <v>158</v>
      </c>
      <c r="H49" s="71"/>
    </row>
    <row r="50" spans="4:10" x14ac:dyDescent="0.2">
      <c r="F50" t="s">
        <v>159</v>
      </c>
      <c r="H50" s="71"/>
    </row>
    <row r="52" spans="4:10" x14ac:dyDescent="0.2">
      <c r="D52" t="s">
        <v>154</v>
      </c>
      <c r="F52" t="s">
        <v>162</v>
      </c>
      <c r="H52" t="s">
        <v>161</v>
      </c>
    </row>
    <row r="53" spans="4:10" x14ac:dyDescent="0.2">
      <c r="J53" t="s">
        <v>163</v>
      </c>
    </row>
    <row r="54" spans="4:10" x14ac:dyDescent="0.2">
      <c r="J54" t="s">
        <v>164</v>
      </c>
    </row>
    <row r="55" spans="4:10" x14ac:dyDescent="0.2">
      <c r="J55" t="s">
        <v>165</v>
      </c>
    </row>
    <row r="56" spans="4:10" x14ac:dyDescent="0.2">
      <c r="J56" t="s">
        <v>166</v>
      </c>
    </row>
    <row r="57" spans="4:10" x14ac:dyDescent="0.2">
      <c r="J57" t="s">
        <v>167</v>
      </c>
    </row>
    <row r="58" spans="4:10" x14ac:dyDescent="0.2">
      <c r="J58" t="s">
        <v>168</v>
      </c>
    </row>
  </sheetData>
  <mergeCells count="2">
    <mergeCell ref="N11:N13"/>
    <mergeCell ref="H48:H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A14D-F174-9F4C-A793-D41FBF00E8B9}">
  <dimension ref="B3:I48"/>
  <sheetViews>
    <sheetView topLeftCell="A29" zoomScale="200" zoomScaleNormal="200" workbookViewId="0">
      <selection activeCell="F36" sqref="F36"/>
    </sheetView>
  </sheetViews>
  <sheetFormatPr baseColWidth="10" defaultRowHeight="16" x14ac:dyDescent="0.2"/>
  <cols>
    <col min="3" max="3" width="17" customWidth="1"/>
    <col min="4" max="4" width="16.83203125" bestFit="1" customWidth="1"/>
    <col min="5" max="5" width="17.1640625" bestFit="1" customWidth="1"/>
    <col min="6" max="6" width="19" bestFit="1" customWidth="1"/>
    <col min="7" max="7" width="13.6640625" bestFit="1" customWidth="1"/>
    <col min="8" max="8" width="14.6640625" bestFit="1" customWidth="1"/>
  </cols>
  <sheetData>
    <row r="3" spans="2:6" x14ac:dyDescent="0.2">
      <c r="B3" t="s">
        <v>169</v>
      </c>
    </row>
    <row r="4" spans="2:6" x14ac:dyDescent="0.2">
      <c r="C4" t="s">
        <v>172</v>
      </c>
      <c r="E4" t="str">
        <f>MID(C4,3,4)</f>
        <v>ncti</v>
      </c>
    </row>
    <row r="5" spans="2:6" x14ac:dyDescent="0.2">
      <c r="C5" t="s">
        <v>170</v>
      </c>
    </row>
    <row r="6" spans="2:6" x14ac:dyDescent="0.2">
      <c r="C6" t="s">
        <v>171</v>
      </c>
    </row>
    <row r="10" spans="2:6" x14ac:dyDescent="0.2">
      <c r="C10" t="s">
        <v>173</v>
      </c>
      <c r="E10" t="s">
        <v>174</v>
      </c>
      <c r="F10" t="s">
        <v>175</v>
      </c>
    </row>
    <row r="11" spans="2:6" x14ac:dyDescent="0.2">
      <c r="C11" t="s">
        <v>176</v>
      </c>
      <c r="E11" t="s">
        <v>177</v>
      </c>
      <c r="F11" t="s">
        <v>178</v>
      </c>
    </row>
    <row r="12" spans="2:6" x14ac:dyDescent="0.2">
      <c r="C12" t="s">
        <v>179</v>
      </c>
      <c r="E12" t="s">
        <v>180</v>
      </c>
      <c r="F12" t="s">
        <v>175</v>
      </c>
    </row>
    <row r="14" spans="2:6" x14ac:dyDescent="0.2">
      <c r="C14" t="str" cm="1">
        <f t="array" ref="C14:D14">_xlfn.TEXTSPLIT("Hello World"," ")</f>
        <v>Hello</v>
      </c>
      <c r="D14" t="str">
        <v>World</v>
      </c>
    </row>
    <row r="15" spans="2:6" x14ac:dyDescent="0.2">
      <c r="C15">
        <v>1</v>
      </c>
      <c r="D15">
        <v>2</v>
      </c>
    </row>
    <row r="17" spans="2:9" x14ac:dyDescent="0.2">
      <c r="C17" t="str" cm="1">
        <f t="array" ref="C17:I17">_xlfn.TEXTSPLIT("qw er er rt rt ty "," ")</f>
        <v>qw</v>
      </c>
      <c r="D17" t="str">
        <v>er</v>
      </c>
      <c r="E17" t="str">
        <v>er</v>
      </c>
      <c r="F17" t="str">
        <v>rt</v>
      </c>
      <c r="G17" t="str">
        <v>rt</v>
      </c>
      <c r="H17" t="str">
        <v>ty</v>
      </c>
      <c r="I17" t="str">
        <v/>
      </c>
    </row>
    <row r="18" spans="2:9" x14ac:dyDescent="0.2"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</row>
    <row r="21" spans="2:9" x14ac:dyDescent="0.2">
      <c r="C21" s="21" t="s">
        <v>181</v>
      </c>
      <c r="E21" t="str">
        <f>MID(C21,FIND("@",C21)+1,9)</f>
        <v>gmail.com</v>
      </c>
      <c r="F21" t="str">
        <f>SUBSTITUTE(C21,"gmail.com","tcs.com")</f>
        <v>siraj.ahmad@tcs.com</v>
      </c>
      <c r="I21" t="s">
        <v>196</v>
      </c>
    </row>
    <row r="23" spans="2:9" ht="17" thickBot="1" x14ac:dyDescent="0.25">
      <c r="I23" t="s">
        <v>197</v>
      </c>
    </row>
    <row r="24" spans="2:9" x14ac:dyDescent="0.2">
      <c r="B24" s="23" t="s">
        <v>182</v>
      </c>
      <c r="C24" s="24" t="s">
        <v>185</v>
      </c>
      <c r="D24" s="24" t="s">
        <v>188</v>
      </c>
      <c r="E24" s="24" t="s">
        <v>190</v>
      </c>
      <c r="F24" s="24" t="s">
        <v>192</v>
      </c>
      <c r="G24" s="25" t="s">
        <v>195</v>
      </c>
      <c r="I24" t="s">
        <v>198</v>
      </c>
    </row>
    <row r="25" spans="2:9" x14ac:dyDescent="0.2">
      <c r="B25" s="26" t="s">
        <v>183</v>
      </c>
      <c r="C25" t="s">
        <v>186</v>
      </c>
      <c r="D25" t="s">
        <v>189</v>
      </c>
      <c r="E25" t="s">
        <v>191</v>
      </c>
      <c r="F25" t="s">
        <v>193</v>
      </c>
      <c r="G25" s="27"/>
      <c r="I25" t="s">
        <v>199</v>
      </c>
    </row>
    <row r="26" spans="2:9" x14ac:dyDescent="0.2">
      <c r="B26" s="26" t="s">
        <v>184</v>
      </c>
      <c r="E26" t="s">
        <v>187</v>
      </c>
      <c r="F26" t="s">
        <v>194</v>
      </c>
      <c r="G26" s="27"/>
    </row>
    <row r="27" spans="2:9" ht="17" thickBot="1" x14ac:dyDescent="0.25">
      <c r="B27" s="28"/>
      <c r="C27" s="9"/>
      <c r="D27" s="9"/>
      <c r="E27" s="9"/>
      <c r="F27" s="9"/>
      <c r="G27" s="29"/>
    </row>
    <row r="29" spans="2:9" ht="17" thickBot="1" x14ac:dyDescent="0.25">
      <c r="G29" t="s">
        <v>226</v>
      </c>
      <c r="H29" t="s">
        <v>228</v>
      </c>
      <c r="I29" t="s">
        <v>230</v>
      </c>
    </row>
    <row r="30" spans="2:9" x14ac:dyDescent="0.2">
      <c r="B30" t="s">
        <v>200</v>
      </c>
      <c r="D30" s="23" t="s">
        <v>200</v>
      </c>
      <c r="E30" s="25"/>
      <c r="G30" s="22" t="s">
        <v>224</v>
      </c>
      <c r="H30" t="s">
        <v>229</v>
      </c>
      <c r="I30" t="s">
        <v>231</v>
      </c>
    </row>
    <row r="31" spans="2:9" x14ac:dyDescent="0.2">
      <c r="B31" t="s">
        <v>201</v>
      </c>
      <c r="D31" s="26" t="s">
        <v>213</v>
      </c>
      <c r="E31" s="27"/>
      <c r="G31" t="s">
        <v>227</v>
      </c>
    </row>
    <row r="32" spans="2:9" x14ac:dyDescent="0.2">
      <c r="B32" t="s">
        <v>202</v>
      </c>
      <c r="D32" s="26" t="s">
        <v>214</v>
      </c>
      <c r="E32" s="27"/>
    </row>
    <row r="33" spans="2:5" x14ac:dyDescent="0.2">
      <c r="B33" t="s">
        <v>203</v>
      </c>
      <c r="D33" s="26" t="s">
        <v>215</v>
      </c>
      <c r="E33" s="27"/>
    </row>
    <row r="34" spans="2:5" x14ac:dyDescent="0.2">
      <c r="B34" t="s">
        <v>204</v>
      </c>
      <c r="D34" s="26" t="s">
        <v>216</v>
      </c>
      <c r="E34" s="27"/>
    </row>
    <row r="35" spans="2:5" x14ac:dyDescent="0.2">
      <c r="B35" t="s">
        <v>205</v>
      </c>
      <c r="D35" s="26"/>
      <c r="E35" s="27" t="s">
        <v>202</v>
      </c>
    </row>
    <row r="36" spans="2:5" x14ac:dyDescent="0.2">
      <c r="B36" t="s">
        <v>206</v>
      </c>
      <c r="D36" s="26"/>
      <c r="E36" s="27" t="s">
        <v>217</v>
      </c>
    </row>
    <row r="37" spans="2:5" x14ac:dyDescent="0.2">
      <c r="B37" t="s">
        <v>207</v>
      </c>
      <c r="D37" s="26"/>
      <c r="E37" s="27" t="s">
        <v>203</v>
      </c>
    </row>
    <row r="38" spans="2:5" x14ac:dyDescent="0.2">
      <c r="B38" t="s">
        <v>208</v>
      </c>
      <c r="D38" s="26"/>
      <c r="E38" s="27" t="s">
        <v>218</v>
      </c>
    </row>
    <row r="39" spans="2:5" x14ac:dyDescent="0.2">
      <c r="B39" t="s">
        <v>209</v>
      </c>
      <c r="D39" s="26"/>
      <c r="E39" s="27" t="s">
        <v>219</v>
      </c>
    </row>
    <row r="40" spans="2:5" x14ac:dyDescent="0.2">
      <c r="B40" t="s">
        <v>210</v>
      </c>
      <c r="D40" s="26"/>
      <c r="E40" s="27" t="s">
        <v>205</v>
      </c>
    </row>
    <row r="41" spans="2:5" x14ac:dyDescent="0.2">
      <c r="B41" t="s">
        <v>211</v>
      </c>
      <c r="D41" s="26"/>
      <c r="E41" s="27" t="s">
        <v>208</v>
      </c>
    </row>
    <row r="42" spans="2:5" x14ac:dyDescent="0.2">
      <c r="B42" t="s">
        <v>212</v>
      </c>
      <c r="D42" s="26"/>
      <c r="E42" s="27" t="s">
        <v>209</v>
      </c>
    </row>
    <row r="43" spans="2:5" x14ac:dyDescent="0.2">
      <c r="D43" s="26"/>
      <c r="E43" s="27" t="s">
        <v>220</v>
      </c>
    </row>
    <row r="44" spans="2:5" x14ac:dyDescent="0.2">
      <c r="D44" s="26"/>
      <c r="E44" s="27" t="s">
        <v>221</v>
      </c>
    </row>
    <row r="45" spans="2:5" x14ac:dyDescent="0.2">
      <c r="D45" s="26" t="s">
        <v>222</v>
      </c>
      <c r="E45" s="27"/>
    </row>
    <row r="46" spans="2:5" x14ac:dyDescent="0.2">
      <c r="D46" s="26" t="s">
        <v>223</v>
      </c>
      <c r="E46" s="27"/>
    </row>
    <row r="47" spans="2:5" x14ac:dyDescent="0.2">
      <c r="D47" s="26" t="s">
        <v>225</v>
      </c>
      <c r="E47" s="27"/>
    </row>
    <row r="48" spans="2:5" ht="17" thickBot="1" x14ac:dyDescent="0.25">
      <c r="D48" s="28" t="s">
        <v>232</v>
      </c>
      <c r="E48" s="29"/>
    </row>
  </sheetData>
  <hyperlinks>
    <hyperlink ref="C21" r:id="rId1" xr:uid="{F518B6CB-60E1-F74D-964F-AEA9A806522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48FC-634D-E544-8BCA-30AE9070B984}">
  <dimension ref="B2:L62"/>
  <sheetViews>
    <sheetView topLeftCell="A40" zoomScale="200" zoomScaleNormal="200" workbookViewId="0">
      <selection activeCell="H52" sqref="H52"/>
    </sheetView>
  </sheetViews>
  <sheetFormatPr baseColWidth="10" defaultRowHeight="16" x14ac:dyDescent="0.2"/>
  <cols>
    <col min="5" max="5" width="11.33203125" bestFit="1" customWidth="1"/>
    <col min="6" max="6" width="17.6640625" bestFit="1" customWidth="1"/>
    <col min="8" max="8" width="32.5" bestFit="1" customWidth="1"/>
  </cols>
  <sheetData>
    <row r="2" spans="2:12" x14ac:dyDescent="0.2">
      <c r="B2" t="s">
        <v>233</v>
      </c>
      <c r="C2" t="s">
        <v>249</v>
      </c>
    </row>
    <row r="3" spans="2:12" x14ac:dyDescent="0.2">
      <c r="B3">
        <v>34</v>
      </c>
      <c r="C3" t="s">
        <v>246</v>
      </c>
      <c r="J3" t="s">
        <v>234</v>
      </c>
      <c r="K3" t="s">
        <v>235</v>
      </c>
    </row>
    <row r="4" spans="2:12" x14ac:dyDescent="0.2">
      <c r="B4">
        <v>31</v>
      </c>
      <c r="C4" t="s">
        <v>248</v>
      </c>
      <c r="J4" t="s">
        <v>236</v>
      </c>
      <c r="K4" t="s">
        <v>30</v>
      </c>
    </row>
    <row r="5" spans="2:12" x14ac:dyDescent="0.2">
      <c r="B5">
        <v>48</v>
      </c>
      <c r="J5" t="s">
        <v>237</v>
      </c>
      <c r="K5" t="s">
        <v>238</v>
      </c>
    </row>
    <row r="6" spans="2:12" x14ac:dyDescent="0.2">
      <c r="B6">
        <v>88</v>
      </c>
      <c r="J6" t="s">
        <v>239</v>
      </c>
      <c r="K6" t="s">
        <v>240</v>
      </c>
    </row>
    <row r="7" spans="2:12" x14ac:dyDescent="0.2">
      <c r="B7">
        <v>92</v>
      </c>
      <c r="J7" t="s">
        <v>241</v>
      </c>
      <c r="K7" t="s">
        <v>242</v>
      </c>
    </row>
    <row r="8" spans="2:12" x14ac:dyDescent="0.2">
      <c r="B8">
        <v>64</v>
      </c>
      <c r="J8" t="s">
        <v>243</v>
      </c>
      <c r="K8" t="s">
        <v>244</v>
      </c>
    </row>
    <row r="9" spans="2:12" x14ac:dyDescent="0.2">
      <c r="B9">
        <v>40</v>
      </c>
      <c r="J9" t="s">
        <v>245</v>
      </c>
      <c r="K9" t="s">
        <v>246</v>
      </c>
    </row>
    <row r="10" spans="2:12" x14ac:dyDescent="0.2">
      <c r="B10">
        <v>97</v>
      </c>
      <c r="J10" t="s">
        <v>247</v>
      </c>
      <c r="K10" t="s">
        <v>248</v>
      </c>
    </row>
    <row r="11" spans="2:12" x14ac:dyDescent="0.2">
      <c r="B11">
        <v>76</v>
      </c>
    </row>
    <row r="12" spans="2:12" x14ac:dyDescent="0.2">
      <c r="B12">
        <v>85</v>
      </c>
      <c r="J12" t="s">
        <v>250</v>
      </c>
      <c r="K12" t="s">
        <v>258</v>
      </c>
    </row>
    <row r="13" spans="2:12" x14ac:dyDescent="0.2">
      <c r="K13">
        <v>1</v>
      </c>
      <c r="L13" t="s">
        <v>251</v>
      </c>
    </row>
    <row r="14" spans="2:12" x14ac:dyDescent="0.2">
      <c r="K14">
        <v>2</v>
      </c>
      <c r="L14" t="s">
        <v>252</v>
      </c>
    </row>
    <row r="15" spans="2:12" x14ac:dyDescent="0.2">
      <c r="K15">
        <v>3</v>
      </c>
      <c r="L15" t="s">
        <v>253</v>
      </c>
    </row>
    <row r="16" spans="2:12" x14ac:dyDescent="0.2">
      <c r="K16">
        <v>4</v>
      </c>
      <c r="L16" t="s">
        <v>254</v>
      </c>
    </row>
    <row r="17" spans="2:12" x14ac:dyDescent="0.2">
      <c r="K17">
        <v>5</v>
      </c>
      <c r="L17" t="s">
        <v>255</v>
      </c>
    </row>
    <row r="18" spans="2:12" x14ac:dyDescent="0.2">
      <c r="K18">
        <v>6</v>
      </c>
      <c r="L18" t="s">
        <v>256</v>
      </c>
    </row>
    <row r="19" spans="2:12" x14ac:dyDescent="0.2">
      <c r="K19">
        <v>7</v>
      </c>
      <c r="L19" t="s">
        <v>257</v>
      </c>
    </row>
    <row r="22" spans="2:12" s="6" customFormat="1" x14ac:dyDescent="0.2"/>
    <row r="24" spans="2:12" x14ac:dyDescent="0.2">
      <c r="B24" t="s">
        <v>259</v>
      </c>
    </row>
    <row r="25" spans="2:12" x14ac:dyDescent="0.2">
      <c r="C25" t="s">
        <v>260</v>
      </c>
      <c r="J25" t="s">
        <v>276</v>
      </c>
    </row>
    <row r="26" spans="2:12" x14ac:dyDescent="0.2">
      <c r="D26" t="s">
        <v>261</v>
      </c>
      <c r="E26" t="s">
        <v>272</v>
      </c>
      <c r="I26" t="s">
        <v>274</v>
      </c>
      <c r="J26" t="s">
        <v>275</v>
      </c>
    </row>
    <row r="27" spans="2:12" ht="17" thickBot="1" x14ac:dyDescent="0.25">
      <c r="D27" t="s">
        <v>262</v>
      </c>
      <c r="E27" t="s">
        <v>273</v>
      </c>
    </row>
    <row r="28" spans="2:12" x14ac:dyDescent="0.2">
      <c r="C28" s="23"/>
      <c r="D28" s="24" t="s">
        <v>263</v>
      </c>
      <c r="E28" s="24" t="s">
        <v>264</v>
      </c>
      <c r="F28" s="25"/>
    </row>
    <row r="29" spans="2:12" x14ac:dyDescent="0.2">
      <c r="C29" s="26"/>
      <c r="F29" s="27"/>
    </row>
    <row r="30" spans="2:12" x14ac:dyDescent="0.2">
      <c r="C30" s="26"/>
      <c r="F30" s="27"/>
    </row>
    <row r="31" spans="2:12" x14ac:dyDescent="0.2">
      <c r="C31" s="26" t="s">
        <v>265</v>
      </c>
      <c r="F31" s="27"/>
    </row>
    <row r="32" spans="2:12" x14ac:dyDescent="0.2">
      <c r="C32" s="26"/>
      <c r="D32" t="s">
        <v>266</v>
      </c>
      <c r="E32" t="s">
        <v>269</v>
      </c>
      <c r="F32" s="27" t="s">
        <v>270</v>
      </c>
    </row>
    <row r="33" spans="2:10" x14ac:dyDescent="0.2">
      <c r="C33" s="26"/>
      <c r="D33" t="s">
        <v>267</v>
      </c>
      <c r="E33" t="s">
        <v>271</v>
      </c>
      <c r="F33" s="27" t="s">
        <v>270</v>
      </c>
    </row>
    <row r="34" spans="2:10" ht="17" thickBot="1" x14ac:dyDescent="0.25">
      <c r="C34" s="28"/>
      <c r="D34" s="9" t="s">
        <v>268</v>
      </c>
      <c r="E34" s="9" t="s">
        <v>271</v>
      </c>
      <c r="F34" s="29" t="s">
        <v>270</v>
      </c>
    </row>
    <row r="38" spans="2:10" x14ac:dyDescent="0.2">
      <c r="B38" t="s">
        <v>277</v>
      </c>
    </row>
    <row r="39" spans="2:10" x14ac:dyDescent="0.2">
      <c r="D39" t="s">
        <v>278</v>
      </c>
    </row>
    <row r="40" spans="2:10" x14ac:dyDescent="0.2">
      <c r="E40" t="s">
        <v>280</v>
      </c>
    </row>
    <row r="41" spans="2:10" x14ac:dyDescent="0.2">
      <c r="D41" t="s">
        <v>279</v>
      </c>
    </row>
    <row r="42" spans="2:10" x14ac:dyDescent="0.2">
      <c r="E42" t="s">
        <v>281</v>
      </c>
    </row>
    <row r="43" spans="2:10" x14ac:dyDescent="0.2">
      <c r="F43" t="s">
        <v>282</v>
      </c>
    </row>
    <row r="44" spans="2:10" x14ac:dyDescent="0.2">
      <c r="F44" t="s">
        <v>283</v>
      </c>
    </row>
    <row r="47" spans="2:10" x14ac:dyDescent="0.2">
      <c r="D47" t="s">
        <v>284</v>
      </c>
      <c r="E47" t="s">
        <v>285</v>
      </c>
      <c r="F47" t="s">
        <v>286</v>
      </c>
      <c r="G47" t="s">
        <v>287</v>
      </c>
      <c r="H47" t="s">
        <v>288</v>
      </c>
    </row>
    <row r="48" spans="2:10" x14ac:dyDescent="0.2">
      <c r="D48">
        <v>1</v>
      </c>
      <c r="E48">
        <v>2</v>
      </c>
      <c r="F48">
        <v>3</v>
      </c>
      <c r="G48">
        <v>4</v>
      </c>
      <c r="H48">
        <v>-1</v>
      </c>
      <c r="J48">
        <v>1</v>
      </c>
    </row>
    <row r="49" spans="4:10" x14ac:dyDescent="0.2">
      <c r="D49" t="s">
        <v>55</v>
      </c>
      <c r="E49">
        <v>1</v>
      </c>
      <c r="F49">
        <v>2</v>
      </c>
      <c r="G49">
        <v>3</v>
      </c>
      <c r="H49">
        <v>-1</v>
      </c>
      <c r="J49">
        <v>1</v>
      </c>
    </row>
    <row r="50" spans="4:10" x14ac:dyDescent="0.2">
      <c r="D50" t="s">
        <v>55</v>
      </c>
      <c r="E50" t="s">
        <v>55</v>
      </c>
      <c r="F50">
        <v>1</v>
      </c>
      <c r="G50">
        <v>2</v>
      </c>
      <c r="H50">
        <v>-1</v>
      </c>
      <c r="J50">
        <v>1</v>
      </c>
    </row>
    <row r="51" spans="4:10" x14ac:dyDescent="0.2">
      <c r="D51" t="s">
        <v>55</v>
      </c>
      <c r="E51" t="s">
        <v>55</v>
      </c>
      <c r="F51" t="s">
        <v>55</v>
      </c>
      <c r="G51">
        <v>1</v>
      </c>
      <c r="H51">
        <v>-1</v>
      </c>
      <c r="J51">
        <v>1</v>
      </c>
    </row>
    <row r="52" spans="4:10" x14ac:dyDescent="0.2">
      <c r="D52" t="s">
        <v>55</v>
      </c>
      <c r="E52" t="s">
        <v>55</v>
      </c>
      <c r="F52" t="s">
        <v>55</v>
      </c>
      <c r="G52" t="s">
        <v>55</v>
      </c>
      <c r="H52">
        <v>-1</v>
      </c>
      <c r="J52">
        <v>-1</v>
      </c>
    </row>
    <row r="56" spans="4:10" x14ac:dyDescent="0.2">
      <c r="D56" t="s">
        <v>289</v>
      </c>
      <c r="F56" t="s">
        <v>290</v>
      </c>
      <c r="H56" t="s">
        <v>291</v>
      </c>
    </row>
    <row r="57" spans="4:10" x14ac:dyDescent="0.2">
      <c r="D57">
        <v>1</v>
      </c>
      <c r="F57" t="s">
        <v>292</v>
      </c>
      <c r="G57">
        <v>1</v>
      </c>
      <c r="H57" t="s">
        <v>293</v>
      </c>
      <c r="I57">
        <v>1</v>
      </c>
    </row>
    <row r="58" spans="4:10" x14ac:dyDescent="0.2">
      <c r="D58">
        <v>2</v>
      </c>
      <c r="G58">
        <v>2</v>
      </c>
      <c r="I58">
        <v>2</v>
      </c>
    </row>
    <row r="59" spans="4:10" x14ac:dyDescent="0.2">
      <c r="D59">
        <v>3</v>
      </c>
      <c r="G59">
        <v>3</v>
      </c>
      <c r="I59">
        <v>3</v>
      </c>
    </row>
    <row r="60" spans="4:10" x14ac:dyDescent="0.2">
      <c r="D60" t="s">
        <v>55</v>
      </c>
      <c r="G60">
        <v>-1</v>
      </c>
      <c r="I60">
        <v>-1</v>
      </c>
    </row>
    <row r="61" spans="4:10" x14ac:dyDescent="0.2">
      <c r="D61" t="s">
        <v>55</v>
      </c>
      <c r="G61">
        <v>-1</v>
      </c>
      <c r="I61">
        <v>-1</v>
      </c>
    </row>
    <row r="62" spans="4:10" x14ac:dyDescent="0.2">
      <c r="D62" t="s">
        <v>55</v>
      </c>
      <c r="G62">
        <v>-1</v>
      </c>
      <c r="I62">
        <v>-1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ED6C-1F6D-234E-8485-A5537365EFE1}">
  <dimension ref="B1:L189"/>
  <sheetViews>
    <sheetView topLeftCell="B44" zoomScale="200" zoomScaleNormal="200" workbookViewId="0">
      <selection activeCell="C190" sqref="C190"/>
    </sheetView>
  </sheetViews>
  <sheetFormatPr baseColWidth="10" defaultRowHeight="16" x14ac:dyDescent="0.2"/>
  <cols>
    <col min="2" max="2" width="19" bestFit="1" customWidth="1"/>
    <col min="3" max="3" width="25.83203125" bestFit="1" customWidth="1"/>
    <col min="5" max="5" width="22.6640625" bestFit="1" customWidth="1"/>
    <col min="7" max="7" width="25" bestFit="1" customWidth="1"/>
    <col min="9" max="9" width="13.6640625" bestFit="1" customWidth="1"/>
    <col min="11" max="11" width="13" bestFit="1" customWidth="1"/>
    <col min="12" max="12" width="12.1640625" bestFit="1" customWidth="1"/>
  </cols>
  <sheetData>
    <row r="1" spans="2:12" x14ac:dyDescent="0.2">
      <c r="D1" t="s">
        <v>296</v>
      </c>
      <c r="F1" t="s">
        <v>297</v>
      </c>
    </row>
    <row r="2" spans="2:12" x14ac:dyDescent="0.2">
      <c r="B2" t="s">
        <v>294</v>
      </c>
      <c r="D2" t="s">
        <v>298</v>
      </c>
      <c r="F2" t="s">
        <v>298</v>
      </c>
    </row>
    <row r="4" spans="2:12" x14ac:dyDescent="0.2">
      <c r="B4" t="s">
        <v>295</v>
      </c>
      <c r="D4" t="s">
        <v>299</v>
      </c>
      <c r="F4" t="s">
        <v>298</v>
      </c>
    </row>
    <row r="6" spans="2:12" x14ac:dyDescent="0.2">
      <c r="B6" t="s">
        <v>300</v>
      </c>
      <c r="D6" t="s">
        <v>299</v>
      </c>
      <c r="F6" t="s">
        <v>301</v>
      </c>
      <c r="G6" t="s">
        <v>302</v>
      </c>
    </row>
    <row r="10" spans="2:12" x14ac:dyDescent="0.2">
      <c r="F10" t="s">
        <v>294</v>
      </c>
      <c r="G10" t="s">
        <v>295</v>
      </c>
      <c r="K10" t="s">
        <v>308</v>
      </c>
    </row>
    <row r="11" spans="2:12" x14ac:dyDescent="0.2">
      <c r="B11" t="s">
        <v>303</v>
      </c>
      <c r="C11" t="s">
        <v>64</v>
      </c>
      <c r="D11" t="s">
        <v>307</v>
      </c>
      <c r="F11" t="s">
        <v>182</v>
      </c>
      <c r="G11" t="s">
        <v>266</v>
      </c>
      <c r="H11" t="s">
        <v>267</v>
      </c>
      <c r="I11" t="s">
        <v>268</v>
      </c>
      <c r="K11" s="30" t="s">
        <v>309</v>
      </c>
      <c r="L11" t="s">
        <v>311</v>
      </c>
    </row>
    <row r="12" spans="2:12" x14ac:dyDescent="0.2">
      <c r="B12" t="s">
        <v>304</v>
      </c>
      <c r="C12">
        <v>45000</v>
      </c>
      <c r="D12">
        <v>1</v>
      </c>
      <c r="F12" t="str">
        <f>UPPER(B12)</f>
        <v>SIRAJ</v>
      </c>
      <c r="G12">
        <f>COUNT(C12:C14)</f>
        <v>3</v>
      </c>
      <c r="H12">
        <f>SUM(C12:C14)</f>
        <v>160000</v>
      </c>
      <c r="I12">
        <f>AVERAGE(C12:C14)</f>
        <v>53333.333333333336</v>
      </c>
      <c r="K12" s="31">
        <v>1</v>
      </c>
      <c r="L12">
        <v>105000</v>
      </c>
    </row>
    <row r="13" spans="2:12" x14ac:dyDescent="0.2">
      <c r="B13" t="s">
        <v>305</v>
      </c>
      <c r="C13">
        <v>60000</v>
      </c>
      <c r="D13">
        <v>1</v>
      </c>
      <c r="F13" t="str">
        <f t="shared" ref="F13:F14" si="0">UPPER(B13)</f>
        <v>RAHUL</v>
      </c>
      <c r="K13" s="31">
        <v>2</v>
      </c>
      <c r="L13">
        <v>55000</v>
      </c>
    </row>
    <row r="14" spans="2:12" x14ac:dyDescent="0.2">
      <c r="B14" t="s">
        <v>306</v>
      </c>
      <c r="C14">
        <v>55000</v>
      </c>
      <c r="D14">
        <v>2</v>
      </c>
      <c r="F14" t="str">
        <f t="shared" si="0"/>
        <v>MOHAN</v>
      </c>
      <c r="K14" s="31" t="s">
        <v>310</v>
      </c>
      <c r="L14">
        <v>160000</v>
      </c>
    </row>
    <row r="17" spans="2:8" x14ac:dyDescent="0.2">
      <c r="B17" t="s">
        <v>312</v>
      </c>
    </row>
    <row r="18" spans="2:8" x14ac:dyDescent="0.2">
      <c r="F18" t="s">
        <v>222</v>
      </c>
    </row>
    <row r="19" spans="2:8" x14ac:dyDescent="0.2">
      <c r="B19" t="s">
        <v>313</v>
      </c>
      <c r="C19" t="s">
        <v>319</v>
      </c>
      <c r="F19">
        <v>15</v>
      </c>
      <c r="G19" t="s">
        <v>313</v>
      </c>
      <c r="H19">
        <v>5</v>
      </c>
    </row>
    <row r="20" spans="2:8" x14ac:dyDescent="0.2">
      <c r="B20" t="s">
        <v>314</v>
      </c>
      <c r="F20" t="s">
        <v>55</v>
      </c>
      <c r="G20" t="s">
        <v>319</v>
      </c>
      <c r="H20">
        <v>6</v>
      </c>
    </row>
    <row r="21" spans="2:8" x14ac:dyDescent="0.2">
      <c r="B21" t="s">
        <v>315</v>
      </c>
      <c r="F21">
        <v>16</v>
      </c>
      <c r="G21" t="s">
        <v>320</v>
      </c>
      <c r="H21">
        <v>3</v>
      </c>
    </row>
    <row r="22" spans="2:8" x14ac:dyDescent="0.2">
      <c r="B22" t="s">
        <v>317</v>
      </c>
      <c r="F22">
        <v>16</v>
      </c>
    </row>
    <row r="23" spans="2:8" x14ac:dyDescent="0.2">
      <c r="B23" t="s">
        <v>316</v>
      </c>
      <c r="F23">
        <v>15</v>
      </c>
    </row>
    <row r="24" spans="2:8" x14ac:dyDescent="0.2">
      <c r="F24">
        <v>65</v>
      </c>
    </row>
    <row r="25" spans="2:8" x14ac:dyDescent="0.2">
      <c r="B25" t="s">
        <v>318</v>
      </c>
    </row>
    <row r="26" spans="2:8" ht="17" thickBot="1" x14ac:dyDescent="0.25"/>
    <row r="27" spans="2:8" x14ac:dyDescent="0.2">
      <c r="C27" s="23"/>
      <c r="D27" s="24"/>
      <c r="E27" s="24"/>
      <c r="F27" s="24"/>
      <c r="G27" s="24"/>
      <c r="H27" s="25"/>
    </row>
    <row r="28" spans="2:8" x14ac:dyDescent="0.2">
      <c r="C28" s="26"/>
      <c r="H28" s="27"/>
    </row>
    <row r="29" spans="2:8" x14ac:dyDescent="0.2">
      <c r="C29" s="26"/>
      <c r="H29" s="27"/>
    </row>
    <row r="30" spans="2:8" x14ac:dyDescent="0.2">
      <c r="C30" s="26"/>
      <c r="H30" s="27"/>
    </row>
    <row r="31" spans="2:8" x14ac:dyDescent="0.2">
      <c r="C31" s="26"/>
      <c r="H31" s="27"/>
    </row>
    <row r="32" spans="2:8" x14ac:dyDescent="0.2">
      <c r="C32" s="26"/>
      <c r="H32" s="27"/>
    </row>
    <row r="33" spans="2:10" x14ac:dyDescent="0.2">
      <c r="C33" s="26"/>
      <c r="H33" s="27"/>
    </row>
    <row r="34" spans="2:10" x14ac:dyDescent="0.2">
      <c r="C34" s="26"/>
      <c r="H34" s="27"/>
    </row>
    <row r="35" spans="2:10" x14ac:dyDescent="0.2">
      <c r="C35" s="26"/>
      <c r="H35" s="27"/>
    </row>
    <row r="36" spans="2:10" x14ac:dyDescent="0.2">
      <c r="C36" s="26"/>
      <c r="H36" s="27"/>
    </row>
    <row r="37" spans="2:10" x14ac:dyDescent="0.2">
      <c r="C37" s="26"/>
      <c r="H37" s="27"/>
    </row>
    <row r="38" spans="2:10" x14ac:dyDescent="0.2">
      <c r="C38" s="26"/>
      <c r="H38" s="27"/>
    </row>
    <row r="39" spans="2:10" x14ac:dyDescent="0.2">
      <c r="C39" s="26"/>
      <c r="H39" s="27"/>
    </row>
    <row r="40" spans="2:10" x14ac:dyDescent="0.2">
      <c r="C40" s="26"/>
      <c r="H40" s="27"/>
    </row>
    <row r="41" spans="2:10" ht="17" thickBot="1" x14ac:dyDescent="0.25">
      <c r="C41" s="28"/>
      <c r="D41" s="9"/>
      <c r="E41" s="9"/>
      <c r="F41" s="9"/>
      <c r="G41" s="9"/>
      <c r="H41" s="29"/>
    </row>
    <row r="46" spans="2:10" x14ac:dyDescent="0.2">
      <c r="B46" t="s">
        <v>321</v>
      </c>
      <c r="D46" s="6" t="s">
        <v>261</v>
      </c>
      <c r="E46" s="6"/>
      <c r="H46" t="s">
        <v>327</v>
      </c>
    </row>
    <row r="47" spans="2:10" x14ac:dyDescent="0.2">
      <c r="D47" s="6"/>
      <c r="E47" s="6" t="s">
        <v>322</v>
      </c>
      <c r="I47" t="s">
        <v>328</v>
      </c>
      <c r="J47">
        <v>10000</v>
      </c>
    </row>
    <row r="48" spans="2:10" x14ac:dyDescent="0.2">
      <c r="D48" s="6"/>
      <c r="E48" s="6" t="s">
        <v>323</v>
      </c>
      <c r="H48" t="s">
        <v>329</v>
      </c>
    </row>
    <row r="49" spans="4:11" x14ac:dyDescent="0.2">
      <c r="D49" s="6"/>
      <c r="E49" s="6" t="s">
        <v>324</v>
      </c>
      <c r="I49">
        <v>100</v>
      </c>
      <c r="J49">
        <v>100000</v>
      </c>
    </row>
    <row r="50" spans="4:11" x14ac:dyDescent="0.2">
      <c r="D50" s="6"/>
      <c r="E50" s="6" t="s">
        <v>259</v>
      </c>
      <c r="H50" t="s">
        <v>262</v>
      </c>
    </row>
    <row r="51" spans="4:11" x14ac:dyDescent="0.2">
      <c r="D51" s="6"/>
      <c r="E51" s="6" t="s">
        <v>325</v>
      </c>
      <c r="J51">
        <v>90000</v>
      </c>
    </row>
    <row r="52" spans="4:11" x14ac:dyDescent="0.2">
      <c r="D52" s="6"/>
      <c r="E52" s="6" t="s">
        <v>290</v>
      </c>
      <c r="H52" t="s">
        <v>341</v>
      </c>
    </row>
    <row r="53" spans="4:11" x14ac:dyDescent="0.2">
      <c r="D53" s="6"/>
      <c r="E53" s="6" t="s">
        <v>326</v>
      </c>
      <c r="I53" t="s">
        <v>342</v>
      </c>
      <c r="J53">
        <v>150</v>
      </c>
    </row>
    <row r="54" spans="4:11" x14ac:dyDescent="0.2">
      <c r="D54" s="6" t="s">
        <v>327</v>
      </c>
      <c r="E54" s="6"/>
      <c r="H54" t="s">
        <v>333</v>
      </c>
    </row>
    <row r="55" spans="4:11" x14ac:dyDescent="0.2">
      <c r="D55" s="6"/>
      <c r="E55" s="6" t="s">
        <v>328</v>
      </c>
      <c r="G55">
        <v>10000</v>
      </c>
      <c r="J55">
        <v>102</v>
      </c>
    </row>
    <row r="56" spans="4:11" x14ac:dyDescent="0.2">
      <c r="D56" t="s">
        <v>329</v>
      </c>
      <c r="H56" t="s">
        <v>261</v>
      </c>
      <c r="K56" t="s">
        <v>353</v>
      </c>
    </row>
    <row r="57" spans="4:11" x14ac:dyDescent="0.2">
      <c r="E57" t="s">
        <v>330</v>
      </c>
      <c r="G57">
        <v>100000</v>
      </c>
    </row>
    <row r="58" spans="4:11" x14ac:dyDescent="0.2">
      <c r="D58" s="6" t="s">
        <v>262</v>
      </c>
      <c r="E58" s="6"/>
    </row>
    <row r="59" spans="4:11" x14ac:dyDescent="0.2">
      <c r="D59" s="6"/>
      <c r="E59" s="6" t="s">
        <v>276</v>
      </c>
      <c r="G59">
        <v>90000</v>
      </c>
      <c r="H59" t="s">
        <v>349</v>
      </c>
    </row>
    <row r="60" spans="4:11" x14ac:dyDescent="0.2">
      <c r="D60" s="6" t="s">
        <v>331</v>
      </c>
      <c r="E60" s="6"/>
    </row>
    <row r="61" spans="4:11" x14ac:dyDescent="0.2">
      <c r="D61" s="6"/>
      <c r="E61" s="6" t="s">
        <v>332</v>
      </c>
      <c r="G61">
        <v>150</v>
      </c>
      <c r="H61" t="s">
        <v>350</v>
      </c>
    </row>
    <row r="62" spans="4:11" x14ac:dyDescent="0.2">
      <c r="D62" s="6" t="s">
        <v>333</v>
      </c>
      <c r="E62" s="6"/>
    </row>
    <row r="63" spans="4:11" x14ac:dyDescent="0.2">
      <c r="D63" s="6"/>
      <c r="E63" s="6" t="s">
        <v>334</v>
      </c>
      <c r="G63">
        <v>102</v>
      </c>
      <c r="H63" t="s">
        <v>351</v>
      </c>
    </row>
    <row r="64" spans="4:11" x14ac:dyDescent="0.2">
      <c r="D64" s="6" t="s">
        <v>335</v>
      </c>
      <c r="E64" s="6"/>
    </row>
    <row r="65" spans="4:11" x14ac:dyDescent="0.2">
      <c r="D65" s="6"/>
      <c r="E65" s="6" t="s">
        <v>336</v>
      </c>
      <c r="H65" t="s">
        <v>352</v>
      </c>
    </row>
    <row r="66" spans="4:11" x14ac:dyDescent="0.2">
      <c r="D66" s="6" t="s">
        <v>337</v>
      </c>
      <c r="E66" s="6"/>
    </row>
    <row r="67" spans="4:11" x14ac:dyDescent="0.2">
      <c r="D67" s="6"/>
      <c r="E67" s="6" t="s">
        <v>338</v>
      </c>
    </row>
    <row r="68" spans="4:11" x14ac:dyDescent="0.2">
      <c r="D68" s="6" t="s">
        <v>339</v>
      </c>
      <c r="E68" s="6"/>
    </row>
    <row r="69" spans="4:11" x14ac:dyDescent="0.2">
      <c r="D69" s="6"/>
      <c r="E69" s="6" t="s">
        <v>340</v>
      </c>
      <c r="I69" t="s">
        <v>354</v>
      </c>
      <c r="K69" t="s">
        <v>359</v>
      </c>
    </row>
    <row r="70" spans="4:11" x14ac:dyDescent="0.2">
      <c r="D70" s="6"/>
      <c r="E70" s="6"/>
      <c r="I70" t="s">
        <v>355</v>
      </c>
      <c r="K70" t="s">
        <v>360</v>
      </c>
    </row>
    <row r="71" spans="4:11" x14ac:dyDescent="0.2">
      <c r="I71" t="s">
        <v>356</v>
      </c>
    </row>
    <row r="72" spans="4:11" x14ac:dyDescent="0.2">
      <c r="D72" t="s">
        <v>343</v>
      </c>
      <c r="I72" t="s">
        <v>357</v>
      </c>
    </row>
    <row r="73" spans="4:11" x14ac:dyDescent="0.2">
      <c r="I73" t="s">
        <v>358</v>
      </c>
    </row>
    <row r="100" spans="2:10" x14ac:dyDescent="0.2">
      <c r="B100" t="s">
        <v>344</v>
      </c>
      <c r="C100" t="s">
        <v>346</v>
      </c>
      <c r="D100" t="s">
        <v>347</v>
      </c>
      <c r="E100" t="s">
        <v>346</v>
      </c>
      <c r="F100" t="s">
        <v>261</v>
      </c>
    </row>
    <row r="101" spans="2:10" x14ac:dyDescent="0.2">
      <c r="C101" t="s">
        <v>274</v>
      </c>
      <c r="D101" t="s">
        <v>275</v>
      </c>
      <c r="E101" t="s">
        <v>345</v>
      </c>
      <c r="F101">
        <v>1</v>
      </c>
      <c r="G101" t="s">
        <v>274</v>
      </c>
      <c r="H101" t="s">
        <v>275</v>
      </c>
      <c r="I101" t="s">
        <v>345</v>
      </c>
      <c r="J101" t="s">
        <v>347</v>
      </c>
    </row>
    <row r="102" spans="2:10" x14ac:dyDescent="0.2">
      <c r="B102" t="s">
        <v>341</v>
      </c>
      <c r="F102">
        <v>2</v>
      </c>
      <c r="G102" t="s">
        <v>274</v>
      </c>
    </row>
    <row r="103" spans="2:10" x14ac:dyDescent="0.2">
      <c r="C103" t="s">
        <v>274</v>
      </c>
      <c r="D103" t="s">
        <v>345</v>
      </c>
      <c r="F103">
        <v>3</v>
      </c>
      <c r="G103" t="s">
        <v>274</v>
      </c>
      <c r="H103" t="s">
        <v>275</v>
      </c>
    </row>
    <row r="104" spans="2:10" x14ac:dyDescent="0.2">
      <c r="F104">
        <v>4</v>
      </c>
      <c r="G104" t="s">
        <v>274</v>
      </c>
      <c r="H104" t="s">
        <v>275</v>
      </c>
      <c r="I104" t="s">
        <v>345</v>
      </c>
    </row>
    <row r="105" spans="2:10" x14ac:dyDescent="0.2">
      <c r="F105">
        <v>5</v>
      </c>
      <c r="G105" t="s">
        <v>345</v>
      </c>
      <c r="H105" t="s">
        <v>274</v>
      </c>
    </row>
    <row r="106" spans="2:10" x14ac:dyDescent="0.2">
      <c r="F106">
        <v>6</v>
      </c>
      <c r="G106" t="s">
        <v>274</v>
      </c>
      <c r="H106" t="s">
        <v>347</v>
      </c>
    </row>
    <row r="107" spans="2:10" x14ac:dyDescent="0.2">
      <c r="F107" t="s">
        <v>348</v>
      </c>
    </row>
    <row r="108" spans="2:10" x14ac:dyDescent="0.2">
      <c r="G108" t="s">
        <v>274</v>
      </c>
      <c r="H108" t="s">
        <v>275</v>
      </c>
      <c r="I108" t="s">
        <v>345</v>
      </c>
      <c r="J108" t="s">
        <v>347</v>
      </c>
    </row>
    <row r="121" spans="3:7" x14ac:dyDescent="0.2">
      <c r="C121" t="s">
        <v>327</v>
      </c>
    </row>
    <row r="123" spans="3:7" x14ac:dyDescent="0.2">
      <c r="C123" t="s">
        <v>361</v>
      </c>
      <c r="D123" t="s">
        <v>362</v>
      </c>
      <c r="F123" t="s">
        <v>361</v>
      </c>
      <c r="G123" t="s">
        <v>362</v>
      </c>
    </row>
    <row r="124" spans="3:7" x14ac:dyDescent="0.2">
      <c r="C124">
        <v>1</v>
      </c>
      <c r="D124">
        <v>1</v>
      </c>
      <c r="F124">
        <v>1</v>
      </c>
      <c r="G124">
        <v>1</v>
      </c>
    </row>
    <row r="125" spans="3:7" x14ac:dyDescent="0.2">
      <c r="C125">
        <v>2</v>
      </c>
      <c r="D125">
        <v>2</v>
      </c>
      <c r="F125">
        <v>4</v>
      </c>
      <c r="G125">
        <v>1</v>
      </c>
    </row>
    <row r="126" spans="3:7" x14ac:dyDescent="0.2">
      <c r="C126">
        <v>3</v>
      </c>
      <c r="D126">
        <v>3</v>
      </c>
      <c r="F126">
        <v>7</v>
      </c>
      <c r="G126">
        <v>1</v>
      </c>
    </row>
    <row r="127" spans="3:7" x14ac:dyDescent="0.2">
      <c r="C127">
        <v>4</v>
      </c>
      <c r="D127">
        <v>1</v>
      </c>
      <c r="F127">
        <v>10</v>
      </c>
      <c r="G127">
        <v>1</v>
      </c>
    </row>
    <row r="128" spans="3:7" x14ac:dyDescent="0.2">
      <c r="C128">
        <v>5</v>
      </c>
      <c r="D128">
        <v>2</v>
      </c>
      <c r="F128">
        <v>13</v>
      </c>
      <c r="G128">
        <v>1</v>
      </c>
    </row>
    <row r="129" spans="3:7" x14ac:dyDescent="0.2">
      <c r="C129">
        <v>6</v>
      </c>
      <c r="D129">
        <v>3</v>
      </c>
      <c r="F129">
        <v>16</v>
      </c>
      <c r="G129">
        <v>1</v>
      </c>
    </row>
    <row r="130" spans="3:7" x14ac:dyDescent="0.2">
      <c r="C130">
        <v>7</v>
      </c>
      <c r="D130">
        <v>1</v>
      </c>
      <c r="F130">
        <v>19</v>
      </c>
      <c r="G130">
        <v>1</v>
      </c>
    </row>
    <row r="131" spans="3:7" x14ac:dyDescent="0.2">
      <c r="C131">
        <v>8</v>
      </c>
      <c r="D131">
        <v>2</v>
      </c>
    </row>
    <row r="132" spans="3:7" x14ac:dyDescent="0.2">
      <c r="C132">
        <v>9</v>
      </c>
      <c r="D132">
        <v>3</v>
      </c>
    </row>
    <row r="133" spans="3:7" x14ac:dyDescent="0.2">
      <c r="C133">
        <v>10</v>
      </c>
      <c r="D133">
        <v>1</v>
      </c>
    </row>
    <row r="134" spans="3:7" x14ac:dyDescent="0.2">
      <c r="C134">
        <v>11</v>
      </c>
      <c r="D134">
        <v>2</v>
      </c>
    </row>
    <row r="135" spans="3:7" x14ac:dyDescent="0.2">
      <c r="C135">
        <v>12</v>
      </c>
      <c r="D135">
        <v>3</v>
      </c>
    </row>
    <row r="136" spans="3:7" x14ac:dyDescent="0.2">
      <c r="C136">
        <v>13</v>
      </c>
      <c r="D136">
        <v>1</v>
      </c>
    </row>
    <row r="137" spans="3:7" x14ac:dyDescent="0.2">
      <c r="C137">
        <v>14</v>
      </c>
      <c r="D137">
        <v>2</v>
      </c>
    </row>
    <row r="138" spans="3:7" x14ac:dyDescent="0.2">
      <c r="C138">
        <v>15</v>
      </c>
      <c r="D138">
        <v>3</v>
      </c>
    </row>
    <row r="139" spans="3:7" x14ac:dyDescent="0.2">
      <c r="C139">
        <v>16</v>
      </c>
      <c r="D139">
        <v>1</v>
      </c>
    </row>
    <row r="140" spans="3:7" x14ac:dyDescent="0.2">
      <c r="C140">
        <v>17</v>
      </c>
      <c r="D140">
        <v>2</v>
      </c>
    </row>
    <row r="141" spans="3:7" x14ac:dyDescent="0.2">
      <c r="C141">
        <v>18</v>
      </c>
      <c r="D141">
        <v>3</v>
      </c>
    </row>
    <row r="142" spans="3:7" x14ac:dyDescent="0.2">
      <c r="C142">
        <v>19</v>
      </c>
      <c r="D142">
        <v>1</v>
      </c>
    </row>
    <row r="143" spans="3:7" x14ac:dyDescent="0.2">
      <c r="C143">
        <v>20</v>
      </c>
      <c r="D143">
        <v>2</v>
      </c>
    </row>
    <row r="149" spans="3:6" x14ac:dyDescent="0.2">
      <c r="C149" t="s">
        <v>363</v>
      </c>
      <c r="F149" t="s">
        <v>367</v>
      </c>
    </row>
    <row r="150" spans="3:6" x14ac:dyDescent="0.2">
      <c r="C150" t="s">
        <v>347</v>
      </c>
      <c r="F150" t="s">
        <v>368</v>
      </c>
    </row>
    <row r="151" spans="3:6" x14ac:dyDescent="0.2">
      <c r="C151" t="s">
        <v>364</v>
      </c>
    </row>
    <row r="152" spans="3:6" x14ac:dyDescent="0.2">
      <c r="C152" t="s">
        <v>365</v>
      </c>
    </row>
    <row r="153" spans="3:6" x14ac:dyDescent="0.2">
      <c r="C153" t="s">
        <v>366</v>
      </c>
    </row>
    <row r="161" spans="3:7" s="6" customFormat="1" x14ac:dyDescent="0.2"/>
    <row r="163" spans="3:7" x14ac:dyDescent="0.2">
      <c r="C163" t="s">
        <v>369</v>
      </c>
      <c r="E163" t="s">
        <v>371</v>
      </c>
    </row>
    <row r="165" spans="3:7" x14ac:dyDescent="0.2">
      <c r="C165" t="s">
        <v>370</v>
      </c>
      <c r="E165" t="s">
        <v>372</v>
      </c>
    </row>
    <row r="167" spans="3:7" x14ac:dyDescent="0.2">
      <c r="C167" t="s">
        <v>373</v>
      </c>
      <c r="E167" t="s">
        <v>374</v>
      </c>
      <c r="G167" t="s">
        <v>375</v>
      </c>
    </row>
    <row r="170" spans="3:7" x14ac:dyDescent="0.2">
      <c r="C170" s="71" t="s">
        <v>376</v>
      </c>
      <c r="D170" s="71"/>
      <c r="E170" s="71"/>
      <c r="F170" s="71"/>
      <c r="G170" s="71"/>
    </row>
    <row r="171" spans="3:7" x14ac:dyDescent="0.2">
      <c r="C171" s="71"/>
      <c r="D171" s="71"/>
      <c r="E171" s="71"/>
      <c r="F171" s="71"/>
      <c r="G171" s="71"/>
    </row>
    <row r="173" spans="3:7" x14ac:dyDescent="0.2">
      <c r="C173" s="71"/>
      <c r="D173" s="71"/>
      <c r="E173" s="71"/>
      <c r="F173" s="71"/>
      <c r="G173" s="71"/>
    </row>
    <row r="174" spans="3:7" x14ac:dyDescent="0.2">
      <c r="C174" s="71"/>
      <c r="D174" s="71"/>
      <c r="E174" s="71"/>
      <c r="F174" s="71"/>
      <c r="G174" s="71"/>
    </row>
    <row r="175" spans="3:7" x14ac:dyDescent="0.2">
      <c r="C175" t="s">
        <v>378</v>
      </c>
    </row>
    <row r="176" spans="3:7" x14ac:dyDescent="0.2">
      <c r="C176" t="s">
        <v>347</v>
      </c>
      <c r="E176" t="s">
        <v>379</v>
      </c>
    </row>
    <row r="177" spans="3:3" x14ac:dyDescent="0.2">
      <c r="C177" t="s">
        <v>364</v>
      </c>
    </row>
    <row r="178" spans="3:3" x14ac:dyDescent="0.2">
      <c r="C178" t="s">
        <v>365</v>
      </c>
    </row>
    <row r="179" spans="3:3" x14ac:dyDescent="0.2">
      <c r="C179" t="s">
        <v>366</v>
      </c>
    </row>
    <row r="180" spans="3:3" x14ac:dyDescent="0.2">
      <c r="C180" t="s">
        <v>377</v>
      </c>
    </row>
    <row r="183" spans="3:3" x14ac:dyDescent="0.2">
      <c r="C183" t="s">
        <v>380</v>
      </c>
    </row>
    <row r="184" spans="3:3" x14ac:dyDescent="0.2">
      <c r="C184" t="s">
        <v>381</v>
      </c>
    </row>
    <row r="185" spans="3:3" x14ac:dyDescent="0.2">
      <c r="C185" t="s">
        <v>382</v>
      </c>
    </row>
    <row r="186" spans="3:3" x14ac:dyDescent="0.2">
      <c r="C186" t="s">
        <v>383</v>
      </c>
    </row>
    <row r="187" spans="3:3" x14ac:dyDescent="0.2">
      <c r="C187" t="s">
        <v>384</v>
      </c>
    </row>
    <row r="189" spans="3:3" x14ac:dyDescent="0.2">
      <c r="C189" t="s">
        <v>385</v>
      </c>
    </row>
  </sheetData>
  <mergeCells count="2">
    <mergeCell ref="C170:G171"/>
    <mergeCell ref="C173:G174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6924-D822-2C45-BC1A-F5219AB9ACD7}">
  <dimension ref="B2:N208"/>
  <sheetViews>
    <sheetView topLeftCell="A164" zoomScale="200" zoomScaleNormal="200" workbookViewId="0">
      <selection activeCell="C155" sqref="C155:C166"/>
    </sheetView>
  </sheetViews>
  <sheetFormatPr baseColWidth="10" defaultRowHeight="16" x14ac:dyDescent="0.2"/>
  <cols>
    <col min="1" max="1" width="4.1640625" customWidth="1"/>
    <col min="2" max="2" width="43.6640625" bestFit="1" customWidth="1"/>
    <col min="3" max="3" width="14" bestFit="1" customWidth="1"/>
    <col min="4" max="4" width="7" bestFit="1" customWidth="1"/>
    <col min="5" max="5" width="13.83203125" bestFit="1" customWidth="1"/>
  </cols>
  <sheetData>
    <row r="2" spans="2:14" x14ac:dyDescent="0.2">
      <c r="B2" t="s">
        <v>386</v>
      </c>
      <c r="H2" t="s">
        <v>397</v>
      </c>
    </row>
    <row r="4" spans="2:14" x14ac:dyDescent="0.2">
      <c r="B4" t="s">
        <v>387</v>
      </c>
      <c r="C4" t="s">
        <v>388</v>
      </c>
      <c r="E4" t="s">
        <v>390</v>
      </c>
      <c r="F4" t="s">
        <v>391</v>
      </c>
      <c r="H4" t="s">
        <v>387</v>
      </c>
      <c r="I4">
        <v>20</v>
      </c>
      <c r="K4" t="s">
        <v>390</v>
      </c>
      <c r="L4">
        <v>30</v>
      </c>
    </row>
    <row r="5" spans="2:14" x14ac:dyDescent="0.2">
      <c r="B5" t="s">
        <v>389</v>
      </c>
      <c r="E5" t="s">
        <v>389</v>
      </c>
    </row>
    <row r="6" spans="2:14" x14ac:dyDescent="0.2">
      <c r="H6" t="s">
        <v>394</v>
      </c>
      <c r="I6">
        <v>15</v>
      </c>
      <c r="L6">
        <v>15</v>
      </c>
      <c r="N6" t="s">
        <v>398</v>
      </c>
    </row>
    <row r="7" spans="2:14" x14ac:dyDescent="0.2">
      <c r="B7" t="s">
        <v>392</v>
      </c>
      <c r="C7">
        <v>100</v>
      </c>
      <c r="E7" t="s">
        <v>393</v>
      </c>
      <c r="F7">
        <v>80</v>
      </c>
    </row>
    <row r="8" spans="2:14" x14ac:dyDescent="0.2">
      <c r="H8" s="71" t="s">
        <v>399</v>
      </c>
      <c r="I8">
        <v>5</v>
      </c>
      <c r="K8" s="71" t="s">
        <v>400</v>
      </c>
      <c r="L8">
        <v>15</v>
      </c>
    </row>
    <row r="9" spans="2:14" x14ac:dyDescent="0.2">
      <c r="B9" t="s">
        <v>394</v>
      </c>
      <c r="C9">
        <v>50</v>
      </c>
      <c r="E9" t="s">
        <v>394</v>
      </c>
      <c r="F9">
        <v>50</v>
      </c>
      <c r="H9" s="71"/>
      <c r="K9" s="71"/>
    </row>
    <row r="10" spans="2:14" x14ac:dyDescent="0.2">
      <c r="H10" s="71"/>
      <c r="K10" s="71"/>
    </row>
    <row r="11" spans="2:14" x14ac:dyDescent="0.2">
      <c r="B11" t="s">
        <v>395</v>
      </c>
      <c r="C11">
        <v>50</v>
      </c>
      <c r="E11" t="s">
        <v>396</v>
      </c>
      <c r="F11">
        <v>30</v>
      </c>
      <c r="H11" s="71"/>
      <c r="K11" s="71"/>
    </row>
    <row r="14" spans="2:14" x14ac:dyDescent="0.2">
      <c r="B14" t="s">
        <v>387</v>
      </c>
      <c r="C14" t="s">
        <v>401</v>
      </c>
    </row>
    <row r="15" spans="2:14" x14ac:dyDescent="0.2">
      <c r="B15" t="s">
        <v>390</v>
      </c>
      <c r="C15" t="s">
        <v>402</v>
      </c>
    </row>
    <row r="16" spans="2:14" x14ac:dyDescent="0.2">
      <c r="B16" t="s">
        <v>403</v>
      </c>
      <c r="C16" t="s">
        <v>404</v>
      </c>
    </row>
    <row r="17" spans="2:13" x14ac:dyDescent="0.2">
      <c r="B17" t="s">
        <v>405</v>
      </c>
      <c r="C17" t="s">
        <v>406</v>
      </c>
    </row>
    <row r="18" spans="2:13" x14ac:dyDescent="0.2">
      <c r="B18" t="s">
        <v>396</v>
      </c>
      <c r="C18" t="s">
        <v>407</v>
      </c>
    </row>
    <row r="19" spans="2:13" x14ac:dyDescent="0.2">
      <c r="B19" t="s">
        <v>447</v>
      </c>
      <c r="C19" t="s">
        <v>408</v>
      </c>
    </row>
    <row r="20" spans="2:13" x14ac:dyDescent="0.2">
      <c r="B20" t="s">
        <v>448</v>
      </c>
      <c r="C20" t="s">
        <v>409</v>
      </c>
    </row>
    <row r="21" spans="2:13" ht="17" thickBot="1" x14ac:dyDescent="0.25"/>
    <row r="22" spans="2:13" x14ac:dyDescent="0.2">
      <c r="B22" t="s">
        <v>412</v>
      </c>
      <c r="D22" s="32"/>
      <c r="E22" s="33"/>
      <c r="F22" s="33"/>
      <c r="G22" s="34"/>
      <c r="I22" s="32"/>
      <c r="J22" s="33"/>
      <c r="K22" s="33"/>
      <c r="L22" s="33"/>
      <c r="M22" s="34"/>
    </row>
    <row r="23" spans="2:13" x14ac:dyDescent="0.2">
      <c r="D23" s="35"/>
      <c r="E23" s="6"/>
      <c r="F23" s="6"/>
      <c r="G23" s="36"/>
      <c r="I23" s="35"/>
      <c r="J23" s="6"/>
      <c r="K23" s="6"/>
      <c r="L23" s="6"/>
      <c r="M23" s="36"/>
    </row>
    <row r="24" spans="2:13" x14ac:dyDescent="0.2">
      <c r="B24" t="s">
        <v>413</v>
      </c>
      <c r="D24" s="35"/>
      <c r="E24" s="6"/>
      <c r="F24" s="6"/>
      <c r="G24" s="36"/>
      <c r="I24" s="35"/>
      <c r="J24" s="6"/>
      <c r="K24" s="6"/>
      <c r="L24" s="6"/>
      <c r="M24" s="36"/>
    </row>
    <row r="25" spans="2:13" x14ac:dyDescent="0.2">
      <c r="B25" t="s">
        <v>414</v>
      </c>
      <c r="D25" s="35"/>
      <c r="E25" s="6"/>
      <c r="F25" s="6"/>
      <c r="G25" s="36"/>
      <c r="I25" s="35"/>
      <c r="J25" s="6"/>
      <c r="K25" s="6"/>
      <c r="L25" s="6"/>
      <c r="M25" s="36"/>
    </row>
    <row r="26" spans="2:13" x14ac:dyDescent="0.2">
      <c r="D26" s="35"/>
      <c r="E26" s="6"/>
      <c r="F26" s="6"/>
      <c r="G26" s="36"/>
      <c r="I26" s="35"/>
      <c r="J26" s="6"/>
      <c r="K26" s="6"/>
      <c r="L26" s="6"/>
      <c r="M26" s="36"/>
    </row>
    <row r="27" spans="2:13" x14ac:dyDescent="0.2">
      <c r="D27" s="35"/>
      <c r="E27" s="6"/>
      <c r="F27" s="6"/>
      <c r="G27" s="36"/>
      <c r="I27" s="35"/>
      <c r="J27" s="6"/>
      <c r="K27" s="6"/>
      <c r="L27" s="6"/>
      <c r="M27" s="36"/>
    </row>
    <row r="28" spans="2:13" x14ac:dyDescent="0.2">
      <c r="D28" s="35"/>
      <c r="E28" s="6"/>
      <c r="F28" s="6"/>
      <c r="G28" s="36"/>
      <c r="I28" s="35"/>
      <c r="J28" s="6"/>
      <c r="K28" s="6"/>
      <c r="L28" s="6"/>
      <c r="M28" s="36"/>
    </row>
    <row r="29" spans="2:13" x14ac:dyDescent="0.2">
      <c r="D29" s="35"/>
      <c r="E29" s="6"/>
      <c r="F29" s="6"/>
      <c r="G29" s="36"/>
      <c r="I29" s="35"/>
      <c r="J29" s="6"/>
      <c r="K29" s="6"/>
      <c r="L29" s="6"/>
      <c r="M29" s="36"/>
    </row>
    <row r="30" spans="2:13" x14ac:dyDescent="0.2">
      <c r="D30" s="35"/>
      <c r="E30" s="6"/>
      <c r="F30" s="6"/>
      <c r="G30" s="36"/>
      <c r="I30" s="35"/>
      <c r="J30" s="6"/>
      <c r="K30" s="6"/>
      <c r="L30" s="6"/>
      <c r="M30" s="36"/>
    </row>
    <row r="31" spans="2:13" ht="17" thickBot="1" x14ac:dyDescent="0.25">
      <c r="D31" s="37"/>
      <c r="E31" s="38"/>
      <c r="F31" s="38"/>
      <c r="G31" s="39"/>
      <c r="I31" s="37"/>
      <c r="J31" s="38"/>
      <c r="K31" s="38"/>
      <c r="L31" s="38"/>
      <c r="M31" s="39"/>
    </row>
    <row r="33" spans="2:12" ht="17" thickBot="1" x14ac:dyDescent="0.25"/>
    <row r="34" spans="2:12" x14ac:dyDescent="0.2">
      <c r="B34" s="72" t="s">
        <v>415</v>
      </c>
      <c r="D34" s="32"/>
      <c r="E34" s="33"/>
      <c r="F34" s="33"/>
      <c r="G34" s="34"/>
      <c r="H34" s="32"/>
      <c r="I34" s="33"/>
      <c r="J34" s="33"/>
      <c r="K34" s="33"/>
      <c r="L34" s="34"/>
    </row>
    <row r="35" spans="2:12" x14ac:dyDescent="0.2">
      <c r="B35" s="73"/>
      <c r="D35" s="35"/>
      <c r="E35" s="6"/>
      <c r="F35" s="6"/>
      <c r="G35" s="36"/>
      <c r="H35" s="35"/>
      <c r="I35" s="6"/>
      <c r="J35" s="6"/>
      <c r="K35" s="6"/>
      <c r="L35" s="36"/>
    </row>
    <row r="36" spans="2:12" x14ac:dyDescent="0.2">
      <c r="B36" s="73"/>
      <c r="D36" s="35"/>
      <c r="E36" s="6"/>
      <c r="F36" s="6"/>
      <c r="G36" s="36"/>
      <c r="H36" s="35"/>
      <c r="I36" s="6"/>
      <c r="J36" s="6"/>
      <c r="K36" s="6"/>
      <c r="L36" s="36"/>
    </row>
    <row r="37" spans="2:12" x14ac:dyDescent="0.2">
      <c r="B37" s="73"/>
      <c r="D37" s="35"/>
      <c r="E37" s="6"/>
      <c r="F37" s="6"/>
      <c r="G37" s="36"/>
      <c r="H37" s="35"/>
      <c r="I37" s="6"/>
      <c r="J37" s="6"/>
      <c r="K37" s="6"/>
      <c r="L37" s="36"/>
    </row>
    <row r="38" spans="2:12" x14ac:dyDescent="0.2">
      <c r="B38" s="73"/>
      <c r="D38" s="35"/>
      <c r="E38" s="6"/>
      <c r="F38" s="6"/>
      <c r="G38" s="36"/>
      <c r="H38" s="35"/>
      <c r="I38" s="6"/>
      <c r="J38" s="6"/>
      <c r="K38" s="6"/>
      <c r="L38" s="36"/>
    </row>
    <row r="39" spans="2:12" x14ac:dyDescent="0.2">
      <c r="B39" s="73"/>
      <c r="D39" s="35"/>
      <c r="E39" s="6"/>
      <c r="F39" s="6"/>
      <c r="G39" s="36"/>
      <c r="H39" s="35"/>
      <c r="I39" s="6"/>
      <c r="J39" s="6"/>
      <c r="K39" s="6"/>
      <c r="L39" s="36"/>
    </row>
    <row r="40" spans="2:12" x14ac:dyDescent="0.2">
      <c r="B40" s="73"/>
      <c r="D40" s="35"/>
      <c r="E40" s="6"/>
      <c r="F40" s="6"/>
      <c r="G40" s="36"/>
      <c r="H40" s="35"/>
      <c r="I40" s="6"/>
      <c r="J40" s="6"/>
      <c r="K40" s="6"/>
      <c r="L40" s="36"/>
    </row>
    <row r="41" spans="2:12" x14ac:dyDescent="0.2">
      <c r="B41" s="73"/>
      <c r="D41" s="35"/>
      <c r="E41" s="6"/>
      <c r="F41" s="6"/>
      <c r="G41" s="36"/>
      <c r="H41" s="35"/>
      <c r="I41" s="6"/>
      <c r="J41" s="6"/>
      <c r="K41" s="6"/>
      <c r="L41" s="36"/>
    </row>
    <row r="42" spans="2:12" x14ac:dyDescent="0.2">
      <c r="B42" s="73"/>
      <c r="D42" s="35"/>
      <c r="E42" s="6"/>
      <c r="F42" s="6"/>
      <c r="G42" s="36"/>
      <c r="H42" s="35"/>
      <c r="I42" s="6"/>
      <c r="J42" s="6"/>
      <c r="K42" s="6"/>
      <c r="L42" s="36"/>
    </row>
    <row r="43" spans="2:12" ht="17" thickBot="1" x14ac:dyDescent="0.25">
      <c r="B43" s="74"/>
      <c r="D43" s="37"/>
      <c r="E43" s="38"/>
      <c r="F43" s="38"/>
      <c r="G43" s="39"/>
      <c r="H43" s="37"/>
      <c r="I43" s="38"/>
      <c r="J43" s="38"/>
      <c r="K43" s="38"/>
      <c r="L43" s="39"/>
    </row>
    <row r="45" spans="2:12" x14ac:dyDescent="0.2">
      <c r="E45" t="s">
        <v>416</v>
      </c>
      <c r="I45" t="s">
        <v>417</v>
      </c>
    </row>
    <row r="47" spans="2:12" ht="17" thickBot="1" x14ac:dyDescent="0.25">
      <c r="D47" s="75" t="s">
        <v>424</v>
      </c>
      <c r="E47" s="75"/>
      <c r="F47" s="75"/>
      <c r="G47" s="75"/>
      <c r="H47" s="75"/>
    </row>
    <row r="48" spans="2:12" x14ac:dyDescent="0.2">
      <c r="B48" s="72" t="s">
        <v>420</v>
      </c>
      <c r="D48" s="32" t="s">
        <v>16</v>
      </c>
      <c r="E48" s="33" t="s">
        <v>423</v>
      </c>
      <c r="F48" s="33"/>
      <c r="G48" s="34"/>
      <c r="H48" s="40"/>
    </row>
    <row r="49" spans="2:11" x14ac:dyDescent="0.2">
      <c r="B49" s="73"/>
      <c r="D49" s="35"/>
      <c r="E49" s="6"/>
      <c r="F49" s="6"/>
      <c r="G49" s="36"/>
      <c r="H49" s="41"/>
    </row>
    <row r="50" spans="2:11" x14ac:dyDescent="0.2">
      <c r="B50" s="73"/>
      <c r="D50" s="35"/>
      <c r="E50" s="6"/>
      <c r="F50" s="6"/>
      <c r="G50" s="36"/>
      <c r="H50" s="41"/>
      <c r="K50" t="s">
        <v>418</v>
      </c>
    </row>
    <row r="51" spans="2:11" x14ac:dyDescent="0.2">
      <c r="B51" s="73"/>
      <c r="D51" s="35"/>
      <c r="E51" s="6"/>
      <c r="F51" s="6"/>
      <c r="G51" s="36"/>
      <c r="H51" s="41"/>
    </row>
    <row r="52" spans="2:11" ht="17" thickBot="1" x14ac:dyDescent="0.25">
      <c r="B52" s="74"/>
      <c r="D52" s="35"/>
      <c r="E52" s="6"/>
      <c r="F52" s="6"/>
      <c r="G52" s="36"/>
      <c r="H52" s="41"/>
    </row>
    <row r="53" spans="2:11" x14ac:dyDescent="0.2">
      <c r="D53" s="35"/>
      <c r="E53" s="6"/>
      <c r="F53" s="6"/>
      <c r="G53" s="36"/>
      <c r="H53" s="41"/>
    </row>
    <row r="54" spans="2:11" x14ac:dyDescent="0.2">
      <c r="D54" s="35"/>
      <c r="E54" s="6"/>
      <c r="F54" s="6"/>
      <c r="G54" s="36"/>
      <c r="H54" s="41"/>
    </row>
    <row r="55" spans="2:11" x14ac:dyDescent="0.2">
      <c r="B55" t="s">
        <v>421</v>
      </c>
      <c r="D55" s="35"/>
      <c r="E55" s="6"/>
      <c r="F55" s="6"/>
      <c r="G55" s="36"/>
      <c r="H55" s="41"/>
    </row>
    <row r="56" spans="2:11" x14ac:dyDescent="0.2">
      <c r="D56" s="35"/>
      <c r="E56" s="6"/>
      <c r="F56" s="6"/>
      <c r="G56" s="36"/>
      <c r="H56" s="41"/>
    </row>
    <row r="57" spans="2:11" ht="17" thickBot="1" x14ac:dyDescent="0.25">
      <c r="B57" t="s">
        <v>422</v>
      </c>
      <c r="D57" s="37"/>
      <c r="E57" s="38"/>
      <c r="F57" s="38"/>
      <c r="G57" s="39"/>
      <c r="H57" s="42"/>
    </row>
    <row r="58" spans="2:11" x14ac:dyDescent="0.2">
      <c r="D58" s="32" t="s">
        <v>16</v>
      </c>
      <c r="E58" s="33" t="s">
        <v>423</v>
      </c>
      <c r="F58" s="33"/>
      <c r="G58" s="33"/>
      <c r="H58" s="34"/>
    </row>
    <row r="59" spans="2:11" x14ac:dyDescent="0.2">
      <c r="D59" s="35"/>
      <c r="E59" s="6"/>
      <c r="F59" s="6"/>
      <c r="G59" s="6"/>
      <c r="H59" s="36"/>
    </row>
    <row r="60" spans="2:11" x14ac:dyDescent="0.2">
      <c r="D60" s="35"/>
      <c r="E60" s="6"/>
      <c r="F60" s="6"/>
      <c r="G60" s="6"/>
      <c r="H60" s="36"/>
      <c r="K60" t="s">
        <v>419</v>
      </c>
    </row>
    <row r="61" spans="2:11" x14ac:dyDescent="0.2">
      <c r="D61" s="35"/>
      <c r="E61" s="6"/>
      <c r="F61" s="6"/>
      <c r="G61" s="6"/>
      <c r="H61" s="36"/>
    </row>
    <row r="62" spans="2:11" x14ac:dyDescent="0.2">
      <c r="D62" s="35"/>
      <c r="E62" s="6"/>
      <c r="F62" s="6"/>
      <c r="G62" s="6"/>
      <c r="H62" s="36"/>
    </row>
    <row r="63" spans="2:11" x14ac:dyDescent="0.2">
      <c r="D63" s="35"/>
      <c r="E63" s="6"/>
      <c r="F63" s="6"/>
      <c r="G63" s="6"/>
      <c r="H63" s="36"/>
    </row>
    <row r="64" spans="2:11" x14ac:dyDescent="0.2">
      <c r="D64" s="35"/>
      <c r="E64" s="6"/>
      <c r="F64" s="6"/>
      <c r="G64" s="6"/>
      <c r="H64" s="36"/>
    </row>
    <row r="65" spans="2:8" x14ac:dyDescent="0.2">
      <c r="D65" s="35"/>
      <c r="E65" s="6"/>
      <c r="F65" s="6"/>
      <c r="G65" s="6"/>
      <c r="H65" s="36"/>
    </row>
    <row r="66" spans="2:8" x14ac:dyDescent="0.2">
      <c r="D66" s="35"/>
      <c r="E66" s="6"/>
      <c r="F66" s="6"/>
      <c r="G66" s="6"/>
      <c r="H66" s="36"/>
    </row>
    <row r="67" spans="2:8" ht="17" thickBot="1" x14ac:dyDescent="0.25">
      <c r="D67" s="37"/>
      <c r="E67" s="38"/>
      <c r="F67" s="38"/>
      <c r="G67" s="38"/>
      <c r="H67" s="39"/>
    </row>
    <row r="70" spans="2:8" x14ac:dyDescent="0.2">
      <c r="B70" t="s">
        <v>425</v>
      </c>
    </row>
    <row r="72" spans="2:8" x14ac:dyDescent="0.2">
      <c r="B72" t="s">
        <v>387</v>
      </c>
      <c r="C72" t="s">
        <v>401</v>
      </c>
    </row>
    <row r="73" spans="2:8" x14ac:dyDescent="0.2">
      <c r="B73" t="s">
        <v>390</v>
      </c>
      <c r="C73" t="s">
        <v>402</v>
      </c>
    </row>
    <row r="74" spans="2:8" ht="17" thickBot="1" x14ac:dyDescent="0.25">
      <c r="B74" t="s">
        <v>403</v>
      </c>
      <c r="C74" t="s">
        <v>404</v>
      </c>
    </row>
    <row r="75" spans="2:8" ht="17" thickBot="1" x14ac:dyDescent="0.25">
      <c r="B75" s="49" t="s">
        <v>405</v>
      </c>
      <c r="C75" s="50" t="s">
        <v>406</v>
      </c>
    </row>
    <row r="76" spans="2:8" ht="17" thickBot="1" x14ac:dyDescent="0.25">
      <c r="B76" t="s">
        <v>396</v>
      </c>
      <c r="C76" t="s">
        <v>407</v>
      </c>
    </row>
    <row r="77" spans="2:8" ht="17" thickBot="1" x14ac:dyDescent="0.25">
      <c r="B77" s="49" t="s">
        <v>410</v>
      </c>
      <c r="C77" s="50" t="s">
        <v>408</v>
      </c>
    </row>
    <row r="78" spans="2:8" x14ac:dyDescent="0.2">
      <c r="B78" t="s">
        <v>411</v>
      </c>
      <c r="C78" t="s">
        <v>409</v>
      </c>
    </row>
    <row r="81" spans="2:7" x14ac:dyDescent="0.2">
      <c r="B81" t="s">
        <v>401</v>
      </c>
      <c r="E81" t="s">
        <v>402</v>
      </c>
    </row>
    <row r="82" spans="2:7" x14ac:dyDescent="0.2">
      <c r="B82" t="s">
        <v>426</v>
      </c>
      <c r="E82" t="s">
        <v>426</v>
      </c>
    </row>
    <row r="83" spans="2:7" x14ac:dyDescent="0.2">
      <c r="B83">
        <v>1</v>
      </c>
      <c r="E83">
        <v>3</v>
      </c>
    </row>
    <row r="84" spans="2:7" x14ac:dyDescent="0.2">
      <c r="B84">
        <v>2</v>
      </c>
      <c r="E84">
        <v>3</v>
      </c>
    </row>
    <row r="85" spans="2:7" x14ac:dyDescent="0.2">
      <c r="B85">
        <v>3</v>
      </c>
      <c r="E85">
        <v>3</v>
      </c>
    </row>
    <row r="86" spans="2:7" x14ac:dyDescent="0.2">
      <c r="B86">
        <v>3</v>
      </c>
      <c r="E86">
        <v>4</v>
      </c>
    </row>
    <row r="87" spans="2:7" x14ac:dyDescent="0.2">
      <c r="B87">
        <v>4</v>
      </c>
      <c r="E87">
        <v>6</v>
      </c>
    </row>
    <row r="88" spans="2:7" x14ac:dyDescent="0.2">
      <c r="B88">
        <v>4</v>
      </c>
      <c r="E88">
        <v>6</v>
      </c>
    </row>
    <row r="89" spans="2:7" x14ac:dyDescent="0.2">
      <c r="B89">
        <v>4</v>
      </c>
      <c r="E89">
        <v>7</v>
      </c>
    </row>
    <row r="90" spans="2:7" x14ac:dyDescent="0.2">
      <c r="B90">
        <v>5</v>
      </c>
    </row>
    <row r="93" spans="2:7" x14ac:dyDescent="0.2">
      <c r="B93" s="71" t="s">
        <v>427</v>
      </c>
      <c r="C93" s="71"/>
      <c r="D93" s="71"/>
      <c r="E93" s="71"/>
      <c r="F93" t="s">
        <v>428</v>
      </c>
      <c r="G93" t="s">
        <v>430</v>
      </c>
    </row>
    <row r="94" spans="2:7" x14ac:dyDescent="0.2">
      <c r="F94" t="s">
        <v>429</v>
      </c>
      <c r="G94" t="s">
        <v>431</v>
      </c>
    </row>
    <row r="95" spans="2:7" x14ac:dyDescent="0.2">
      <c r="B95" t="s">
        <v>401</v>
      </c>
      <c r="C95" t="s">
        <v>402</v>
      </c>
    </row>
    <row r="96" spans="2:7" x14ac:dyDescent="0.2">
      <c r="B96" t="s">
        <v>426</v>
      </c>
      <c r="C96" t="s">
        <v>426</v>
      </c>
    </row>
    <row r="97" spans="2:5" x14ac:dyDescent="0.2">
      <c r="B97">
        <v>3</v>
      </c>
      <c r="C97">
        <v>3</v>
      </c>
    </row>
    <row r="98" spans="2:5" x14ac:dyDescent="0.2">
      <c r="B98">
        <v>3</v>
      </c>
      <c r="C98">
        <v>3</v>
      </c>
    </row>
    <row r="99" spans="2:5" x14ac:dyDescent="0.2">
      <c r="B99">
        <v>3</v>
      </c>
      <c r="C99">
        <v>3</v>
      </c>
    </row>
    <row r="100" spans="2:5" x14ac:dyDescent="0.2">
      <c r="B100">
        <v>3</v>
      </c>
      <c r="C100">
        <v>3</v>
      </c>
    </row>
    <row r="101" spans="2:5" x14ac:dyDescent="0.2">
      <c r="B101">
        <v>3</v>
      </c>
      <c r="C101">
        <v>3</v>
      </c>
    </row>
    <row r="102" spans="2:5" x14ac:dyDescent="0.2">
      <c r="B102">
        <v>3</v>
      </c>
      <c r="C102">
        <v>3</v>
      </c>
    </row>
    <row r="103" spans="2:5" x14ac:dyDescent="0.2">
      <c r="B103">
        <v>4</v>
      </c>
      <c r="C103">
        <v>4</v>
      </c>
    </row>
    <row r="104" spans="2:5" x14ac:dyDescent="0.2">
      <c r="B104">
        <v>4</v>
      </c>
      <c r="C104">
        <v>4</v>
      </c>
    </row>
    <row r="105" spans="2:5" x14ac:dyDescent="0.2">
      <c r="B105">
        <v>4</v>
      </c>
      <c r="C105">
        <v>4</v>
      </c>
    </row>
    <row r="109" spans="2:5" x14ac:dyDescent="0.2">
      <c r="B109" t="s">
        <v>401</v>
      </c>
      <c r="E109" t="s">
        <v>402</v>
      </c>
    </row>
    <row r="110" spans="2:5" x14ac:dyDescent="0.2">
      <c r="B110" t="s">
        <v>426</v>
      </c>
      <c r="E110" t="s">
        <v>426</v>
      </c>
    </row>
    <row r="111" spans="2:5" x14ac:dyDescent="0.2">
      <c r="B111">
        <v>1</v>
      </c>
      <c r="E111">
        <v>3</v>
      </c>
    </row>
    <row r="112" spans="2:5" x14ac:dyDescent="0.2">
      <c r="B112">
        <v>2</v>
      </c>
      <c r="E112">
        <v>3</v>
      </c>
    </row>
    <row r="113" spans="2:10" x14ac:dyDescent="0.2">
      <c r="B113">
        <v>3</v>
      </c>
      <c r="E113">
        <v>3</v>
      </c>
    </row>
    <row r="114" spans="2:10" x14ac:dyDescent="0.2">
      <c r="B114">
        <v>3</v>
      </c>
      <c r="E114">
        <v>4</v>
      </c>
    </row>
    <row r="115" spans="2:10" x14ac:dyDescent="0.2">
      <c r="B115">
        <v>4</v>
      </c>
      <c r="E115">
        <v>6</v>
      </c>
    </row>
    <row r="116" spans="2:10" x14ac:dyDescent="0.2">
      <c r="B116">
        <v>4</v>
      </c>
      <c r="E116">
        <v>6</v>
      </c>
    </row>
    <row r="117" spans="2:10" x14ac:dyDescent="0.2">
      <c r="B117">
        <v>4</v>
      </c>
      <c r="E117">
        <v>7</v>
      </c>
    </row>
    <row r="118" spans="2:10" x14ac:dyDescent="0.2">
      <c r="B118">
        <v>5</v>
      </c>
    </row>
    <row r="120" spans="2:10" x14ac:dyDescent="0.2">
      <c r="B120" s="71" t="s">
        <v>432</v>
      </c>
      <c r="C120" s="71"/>
      <c r="D120" s="71"/>
      <c r="E120" s="71"/>
    </row>
    <row r="122" spans="2:10" x14ac:dyDescent="0.2">
      <c r="B122" t="s">
        <v>401</v>
      </c>
      <c r="C122" t="s">
        <v>402</v>
      </c>
    </row>
    <row r="123" spans="2:10" x14ac:dyDescent="0.2">
      <c r="B123" t="s">
        <v>426</v>
      </c>
      <c r="C123" t="s">
        <v>426</v>
      </c>
    </row>
    <row r="124" spans="2:10" x14ac:dyDescent="0.2">
      <c r="B124">
        <v>1</v>
      </c>
      <c r="C124" t="s">
        <v>55</v>
      </c>
      <c r="E124">
        <v>1</v>
      </c>
      <c r="F124" t="s">
        <v>55</v>
      </c>
      <c r="H124">
        <v>12</v>
      </c>
      <c r="I124">
        <v>9</v>
      </c>
      <c r="J124">
        <v>0</v>
      </c>
    </row>
    <row r="125" spans="2:10" x14ac:dyDescent="0.2">
      <c r="B125">
        <v>2</v>
      </c>
      <c r="C125" t="s">
        <v>55</v>
      </c>
      <c r="E125">
        <v>2</v>
      </c>
      <c r="F125" t="s">
        <v>55</v>
      </c>
    </row>
    <row r="126" spans="2:10" x14ac:dyDescent="0.2">
      <c r="B126">
        <v>3</v>
      </c>
      <c r="C126">
        <v>3</v>
      </c>
      <c r="E126">
        <v>5</v>
      </c>
      <c r="F126" t="s">
        <v>55</v>
      </c>
    </row>
    <row r="127" spans="2:10" x14ac:dyDescent="0.2">
      <c r="B127">
        <v>3</v>
      </c>
      <c r="C127">
        <v>3</v>
      </c>
    </row>
    <row r="128" spans="2:10" x14ac:dyDescent="0.2">
      <c r="B128">
        <v>3</v>
      </c>
      <c r="C128">
        <v>3</v>
      </c>
    </row>
    <row r="129" spans="2:11" x14ac:dyDescent="0.2">
      <c r="B129">
        <v>3</v>
      </c>
      <c r="C129">
        <v>3</v>
      </c>
    </row>
    <row r="130" spans="2:11" x14ac:dyDescent="0.2">
      <c r="B130">
        <v>3</v>
      </c>
      <c r="C130">
        <v>3</v>
      </c>
    </row>
    <row r="131" spans="2:11" x14ac:dyDescent="0.2">
      <c r="B131">
        <v>3</v>
      </c>
      <c r="C131">
        <v>3</v>
      </c>
    </row>
    <row r="132" spans="2:11" x14ac:dyDescent="0.2">
      <c r="B132">
        <v>4</v>
      </c>
      <c r="C132">
        <v>4</v>
      </c>
    </row>
    <row r="133" spans="2:11" x14ac:dyDescent="0.2">
      <c r="B133">
        <v>4</v>
      </c>
      <c r="C133">
        <v>4</v>
      </c>
    </row>
    <row r="134" spans="2:11" x14ac:dyDescent="0.2">
      <c r="B134">
        <v>4</v>
      </c>
      <c r="C134">
        <v>4</v>
      </c>
    </row>
    <row r="135" spans="2:11" x14ac:dyDescent="0.2">
      <c r="B135">
        <v>5</v>
      </c>
      <c r="C135" t="s">
        <v>55</v>
      </c>
    </row>
    <row r="139" spans="2:11" x14ac:dyDescent="0.2">
      <c r="B139" t="s">
        <v>401</v>
      </c>
      <c r="E139" t="s">
        <v>402</v>
      </c>
      <c r="H139" t="s">
        <v>401</v>
      </c>
      <c r="K139" t="s">
        <v>402</v>
      </c>
    </row>
    <row r="140" spans="2:11" x14ac:dyDescent="0.2">
      <c r="B140" t="s">
        <v>426</v>
      </c>
      <c r="E140" t="s">
        <v>426</v>
      </c>
      <c r="H140" t="s">
        <v>426</v>
      </c>
      <c r="K140" t="s">
        <v>426</v>
      </c>
    </row>
    <row r="141" spans="2:11" x14ac:dyDescent="0.2">
      <c r="B141">
        <v>1</v>
      </c>
      <c r="E141">
        <v>3</v>
      </c>
      <c r="H141">
        <v>1</v>
      </c>
      <c r="K141">
        <v>3</v>
      </c>
    </row>
    <row r="142" spans="2:11" x14ac:dyDescent="0.2">
      <c r="B142">
        <v>2</v>
      </c>
      <c r="E142">
        <v>3</v>
      </c>
      <c r="H142">
        <v>2</v>
      </c>
      <c r="K142">
        <v>3</v>
      </c>
    </row>
    <row r="143" spans="2:11" x14ac:dyDescent="0.2">
      <c r="B143">
        <v>3</v>
      </c>
      <c r="E143">
        <v>3</v>
      </c>
      <c r="H143">
        <v>3</v>
      </c>
      <c r="K143">
        <v>3</v>
      </c>
    </row>
    <row r="144" spans="2:11" x14ac:dyDescent="0.2">
      <c r="B144">
        <v>3</v>
      </c>
      <c r="E144">
        <v>4</v>
      </c>
      <c r="H144">
        <v>3</v>
      </c>
      <c r="K144">
        <v>4</v>
      </c>
    </row>
    <row r="145" spans="2:11" x14ac:dyDescent="0.2">
      <c r="B145">
        <v>4</v>
      </c>
      <c r="E145">
        <v>6</v>
      </c>
      <c r="H145">
        <v>4</v>
      </c>
      <c r="K145">
        <v>6</v>
      </c>
    </row>
    <row r="146" spans="2:11" x14ac:dyDescent="0.2">
      <c r="B146">
        <v>4</v>
      </c>
      <c r="E146">
        <v>6</v>
      </c>
      <c r="H146">
        <v>4</v>
      </c>
      <c r="K146">
        <v>6</v>
      </c>
    </row>
    <row r="147" spans="2:11" x14ac:dyDescent="0.2">
      <c r="B147">
        <v>4</v>
      </c>
      <c r="E147">
        <v>7</v>
      </c>
      <c r="H147">
        <v>4</v>
      </c>
      <c r="K147">
        <v>7</v>
      </c>
    </row>
    <row r="148" spans="2:11" x14ac:dyDescent="0.2">
      <c r="B148">
        <v>5</v>
      </c>
      <c r="H148">
        <v>5</v>
      </c>
    </row>
    <row r="150" spans="2:11" x14ac:dyDescent="0.2">
      <c r="B150" s="71" t="s">
        <v>433</v>
      </c>
      <c r="C150" s="71"/>
      <c r="D150" s="71"/>
      <c r="E150" s="71"/>
    </row>
    <row r="151" spans="2:11" x14ac:dyDescent="0.2">
      <c r="B151" s="71" t="s">
        <v>434</v>
      </c>
      <c r="C151" s="71"/>
      <c r="D151" s="71"/>
      <c r="E151" s="71"/>
    </row>
    <row r="153" spans="2:11" x14ac:dyDescent="0.2">
      <c r="B153" t="s">
        <v>401</v>
      </c>
      <c r="C153" t="s">
        <v>402</v>
      </c>
    </row>
    <row r="154" spans="2:11" x14ac:dyDescent="0.2">
      <c r="B154" t="s">
        <v>426</v>
      </c>
      <c r="C154" t="s">
        <v>426</v>
      </c>
    </row>
    <row r="155" spans="2:11" x14ac:dyDescent="0.2">
      <c r="B155">
        <v>3</v>
      </c>
      <c r="C155">
        <v>3</v>
      </c>
    </row>
    <row r="156" spans="2:11" x14ac:dyDescent="0.2">
      <c r="B156">
        <v>3</v>
      </c>
      <c r="C156">
        <v>3</v>
      </c>
    </row>
    <row r="157" spans="2:11" x14ac:dyDescent="0.2">
      <c r="B157">
        <v>3</v>
      </c>
      <c r="C157">
        <v>3</v>
      </c>
    </row>
    <row r="158" spans="2:11" x14ac:dyDescent="0.2">
      <c r="B158">
        <v>3</v>
      </c>
      <c r="C158">
        <v>3</v>
      </c>
    </row>
    <row r="159" spans="2:11" x14ac:dyDescent="0.2">
      <c r="B159">
        <v>3</v>
      </c>
      <c r="C159">
        <v>3</v>
      </c>
    </row>
    <row r="160" spans="2:11" x14ac:dyDescent="0.2">
      <c r="B160">
        <v>3</v>
      </c>
      <c r="C160">
        <v>3</v>
      </c>
    </row>
    <row r="161" spans="2:5" x14ac:dyDescent="0.2">
      <c r="B161">
        <v>4</v>
      </c>
      <c r="C161">
        <v>4</v>
      </c>
    </row>
    <row r="162" spans="2:5" x14ac:dyDescent="0.2">
      <c r="B162">
        <v>4</v>
      </c>
      <c r="C162">
        <v>4</v>
      </c>
    </row>
    <row r="163" spans="2:5" x14ac:dyDescent="0.2">
      <c r="B163">
        <v>4</v>
      </c>
      <c r="C163">
        <v>4</v>
      </c>
    </row>
    <row r="164" spans="2:5" x14ac:dyDescent="0.2">
      <c r="B164" t="s">
        <v>55</v>
      </c>
      <c r="C164">
        <v>6</v>
      </c>
    </row>
    <row r="165" spans="2:5" x14ac:dyDescent="0.2">
      <c r="B165" t="s">
        <v>55</v>
      </c>
      <c r="C165">
        <v>6</v>
      </c>
    </row>
    <row r="166" spans="2:5" x14ac:dyDescent="0.2">
      <c r="B166" t="s">
        <v>55</v>
      </c>
      <c r="C166">
        <v>7</v>
      </c>
    </row>
    <row r="168" spans="2:5" x14ac:dyDescent="0.2">
      <c r="B168" s="71" t="s">
        <v>435</v>
      </c>
      <c r="C168" s="71"/>
      <c r="D168" s="71"/>
      <c r="E168" s="71"/>
    </row>
    <row r="170" spans="2:5" x14ac:dyDescent="0.2">
      <c r="B170" t="s">
        <v>401</v>
      </c>
      <c r="C170" t="s">
        <v>402</v>
      </c>
    </row>
    <row r="171" spans="2:5" x14ac:dyDescent="0.2">
      <c r="B171" t="s">
        <v>426</v>
      </c>
      <c r="C171" t="s">
        <v>426</v>
      </c>
    </row>
    <row r="172" spans="2:5" x14ac:dyDescent="0.2">
      <c r="B172" s="43">
        <v>1</v>
      </c>
      <c r="C172" s="43" t="s">
        <v>55</v>
      </c>
      <c r="E172" s="45"/>
    </row>
    <row r="173" spans="2:5" x14ac:dyDescent="0.2">
      <c r="B173" s="43">
        <v>2</v>
      </c>
      <c r="C173" s="43" t="s">
        <v>55</v>
      </c>
      <c r="E173" s="45"/>
    </row>
    <row r="174" spans="2:5" x14ac:dyDescent="0.2">
      <c r="B174" s="45">
        <v>3</v>
      </c>
      <c r="C174" s="45">
        <v>3</v>
      </c>
    </row>
    <row r="175" spans="2:5" x14ac:dyDescent="0.2">
      <c r="B175" s="45">
        <v>3</v>
      </c>
      <c r="C175" s="45">
        <v>3</v>
      </c>
    </row>
    <row r="176" spans="2:5" x14ac:dyDescent="0.2">
      <c r="B176" s="45">
        <v>3</v>
      </c>
      <c r="C176" s="45">
        <v>3</v>
      </c>
    </row>
    <row r="177" spans="2:5" x14ac:dyDescent="0.2">
      <c r="B177" s="45">
        <v>3</v>
      </c>
      <c r="C177" s="45">
        <v>3</v>
      </c>
    </row>
    <row r="178" spans="2:5" x14ac:dyDescent="0.2">
      <c r="B178" s="45">
        <v>3</v>
      </c>
      <c r="C178" s="45">
        <v>3</v>
      </c>
    </row>
    <row r="179" spans="2:5" x14ac:dyDescent="0.2">
      <c r="B179" s="45">
        <v>3</v>
      </c>
      <c r="C179" s="45">
        <v>3</v>
      </c>
    </row>
    <row r="180" spans="2:5" x14ac:dyDescent="0.2">
      <c r="B180" s="45">
        <v>4</v>
      </c>
      <c r="C180" s="45">
        <v>4</v>
      </c>
    </row>
    <row r="181" spans="2:5" x14ac:dyDescent="0.2">
      <c r="B181" s="45">
        <v>4</v>
      </c>
      <c r="C181" s="45">
        <v>4</v>
      </c>
    </row>
    <row r="182" spans="2:5" x14ac:dyDescent="0.2">
      <c r="B182" s="45">
        <v>4</v>
      </c>
      <c r="C182" s="45">
        <v>4</v>
      </c>
    </row>
    <row r="183" spans="2:5" x14ac:dyDescent="0.2">
      <c r="B183" s="43">
        <v>5</v>
      </c>
      <c r="C183" s="43" t="s">
        <v>55</v>
      </c>
      <c r="E183" s="45"/>
    </row>
    <row r="184" spans="2:5" x14ac:dyDescent="0.2">
      <c r="B184" s="44" t="s">
        <v>55</v>
      </c>
      <c r="C184" s="44">
        <v>6</v>
      </c>
      <c r="E184" s="45"/>
    </row>
    <row r="185" spans="2:5" x14ac:dyDescent="0.2">
      <c r="B185" s="44" t="s">
        <v>55</v>
      </c>
      <c r="C185" s="44">
        <v>6</v>
      </c>
      <c r="E185" s="45"/>
    </row>
    <row r="186" spans="2:5" x14ac:dyDescent="0.2">
      <c r="B186" s="44" t="s">
        <v>55</v>
      </c>
      <c r="C186" s="44">
        <v>7</v>
      </c>
      <c r="E186" s="45"/>
    </row>
    <row r="188" spans="2:5" x14ac:dyDescent="0.2">
      <c r="C188" t="s">
        <v>404</v>
      </c>
      <c r="E188" t="s">
        <v>437</v>
      </c>
    </row>
    <row r="189" spans="2:5" x14ac:dyDescent="0.2">
      <c r="C189" t="s">
        <v>408</v>
      </c>
      <c r="E189" t="s">
        <v>438</v>
      </c>
    </row>
    <row r="190" spans="2:5" x14ac:dyDescent="0.2">
      <c r="C190" t="s">
        <v>409</v>
      </c>
      <c r="E190" t="s">
        <v>439</v>
      </c>
    </row>
    <row r="191" spans="2:5" x14ac:dyDescent="0.2">
      <c r="C191" t="s">
        <v>436</v>
      </c>
      <c r="E191" t="s">
        <v>440</v>
      </c>
    </row>
    <row r="193" spans="2:10" ht="17" thickBot="1" x14ac:dyDescent="0.25"/>
    <row r="194" spans="2:10" x14ac:dyDescent="0.2">
      <c r="F194" s="46"/>
      <c r="G194" s="46"/>
      <c r="H194" s="46"/>
      <c r="I194" s="46"/>
      <c r="J194" s="46"/>
    </row>
    <row r="195" spans="2:10" x14ac:dyDescent="0.2">
      <c r="F195" s="47"/>
      <c r="G195" s="47"/>
      <c r="H195" s="47"/>
      <c r="I195" s="47"/>
      <c r="J195" s="47"/>
    </row>
    <row r="196" spans="2:10" x14ac:dyDescent="0.2">
      <c r="F196" s="47"/>
      <c r="G196" s="47"/>
      <c r="H196" s="47"/>
      <c r="I196" s="47"/>
      <c r="J196" s="47"/>
    </row>
    <row r="197" spans="2:10" x14ac:dyDescent="0.2">
      <c r="F197" s="47"/>
      <c r="G197" s="47"/>
      <c r="H197" s="47"/>
      <c r="I197" s="47"/>
      <c r="J197" s="47"/>
    </row>
    <row r="198" spans="2:10" x14ac:dyDescent="0.2">
      <c r="F198" s="47"/>
      <c r="G198" s="47"/>
      <c r="H198" s="47"/>
      <c r="I198" s="47"/>
      <c r="J198" s="47"/>
    </row>
    <row r="199" spans="2:10" x14ac:dyDescent="0.2">
      <c r="F199" s="47"/>
      <c r="G199" s="47"/>
      <c r="H199" s="47"/>
      <c r="I199" s="47"/>
      <c r="J199" s="47"/>
    </row>
    <row r="200" spans="2:10" x14ac:dyDescent="0.2">
      <c r="F200" s="47"/>
      <c r="G200" s="47"/>
      <c r="H200" s="47"/>
      <c r="I200" s="47"/>
      <c r="J200" s="47"/>
    </row>
    <row r="201" spans="2:10" ht="17" thickBot="1" x14ac:dyDescent="0.25">
      <c r="F201" s="48"/>
      <c r="G201" s="48"/>
      <c r="H201" s="48"/>
      <c r="I201" s="48"/>
      <c r="J201" s="48"/>
    </row>
    <row r="206" spans="2:10" x14ac:dyDescent="0.2">
      <c r="B206" t="s">
        <v>328</v>
      </c>
      <c r="C206" t="s">
        <v>67</v>
      </c>
      <c r="D206" t="s">
        <v>68</v>
      </c>
    </row>
    <row r="207" spans="2:10" x14ac:dyDescent="0.2">
      <c r="B207" t="s">
        <v>441</v>
      </c>
      <c r="C207" t="s">
        <v>442</v>
      </c>
    </row>
    <row r="208" spans="2:10" x14ac:dyDescent="0.2">
      <c r="B208" t="s">
        <v>443</v>
      </c>
      <c r="C208" t="s">
        <v>71</v>
      </c>
      <c r="D208" t="s">
        <v>444</v>
      </c>
      <c r="E208" t="s">
        <v>446</v>
      </c>
      <c r="F208" t="s">
        <v>445</v>
      </c>
    </row>
  </sheetData>
  <mergeCells count="10">
    <mergeCell ref="K8:K11"/>
    <mergeCell ref="B34:B43"/>
    <mergeCell ref="B48:B52"/>
    <mergeCell ref="D47:H47"/>
    <mergeCell ref="B93:E93"/>
    <mergeCell ref="B120:E120"/>
    <mergeCell ref="B150:E150"/>
    <mergeCell ref="B151:E151"/>
    <mergeCell ref="B168:E168"/>
    <mergeCell ref="H8:H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AEA7-3B74-FF4B-9F1E-8DEB49185E92}">
  <dimension ref="B2:K148"/>
  <sheetViews>
    <sheetView topLeftCell="A127" zoomScale="200" zoomScaleNormal="200" workbookViewId="0">
      <selection activeCell="K135" sqref="K135:K140"/>
    </sheetView>
  </sheetViews>
  <sheetFormatPr baseColWidth="10" defaultRowHeight="16" x14ac:dyDescent="0.2"/>
  <cols>
    <col min="2" max="2" width="11.83203125" bestFit="1" customWidth="1"/>
    <col min="3" max="3" width="6.83203125" bestFit="1" customWidth="1"/>
    <col min="4" max="4" width="15.1640625" bestFit="1" customWidth="1"/>
    <col min="5" max="5" width="12.6640625" bestFit="1" customWidth="1"/>
    <col min="6" max="6" width="8.6640625" bestFit="1" customWidth="1"/>
    <col min="8" max="8" width="12.33203125" bestFit="1" customWidth="1"/>
  </cols>
  <sheetData>
    <row r="2" spans="2:9" x14ac:dyDescent="0.2">
      <c r="B2" t="s">
        <v>449</v>
      </c>
    </row>
    <row r="4" spans="2:9" x14ac:dyDescent="0.2">
      <c r="C4" t="s">
        <v>401</v>
      </c>
      <c r="E4" t="s">
        <v>402</v>
      </c>
    </row>
    <row r="6" spans="2:9" x14ac:dyDescent="0.2">
      <c r="D6" t="s">
        <v>450</v>
      </c>
    </row>
    <row r="8" spans="2:9" x14ac:dyDescent="0.2">
      <c r="C8" t="s">
        <v>401</v>
      </c>
      <c r="F8" t="s">
        <v>402</v>
      </c>
      <c r="H8" t="s">
        <v>451</v>
      </c>
      <c r="I8">
        <v>9</v>
      </c>
    </row>
    <row r="9" spans="2:9" x14ac:dyDescent="0.2">
      <c r="C9" t="s">
        <v>426</v>
      </c>
      <c r="F9" t="s">
        <v>426</v>
      </c>
      <c r="H9" t="s">
        <v>428</v>
      </c>
      <c r="I9">
        <v>12</v>
      </c>
    </row>
    <row r="10" spans="2:9" x14ac:dyDescent="0.2">
      <c r="C10">
        <v>1</v>
      </c>
      <c r="F10">
        <v>3</v>
      </c>
      <c r="H10" t="s">
        <v>429</v>
      </c>
      <c r="I10">
        <v>12</v>
      </c>
    </row>
    <row r="11" spans="2:9" x14ac:dyDescent="0.2">
      <c r="C11">
        <v>2</v>
      </c>
      <c r="F11">
        <v>3</v>
      </c>
      <c r="H11" t="s">
        <v>452</v>
      </c>
      <c r="I11">
        <v>15</v>
      </c>
    </row>
    <row r="12" spans="2:9" x14ac:dyDescent="0.2">
      <c r="C12">
        <v>3</v>
      </c>
      <c r="F12">
        <v>3</v>
      </c>
    </row>
    <row r="13" spans="2:9" x14ac:dyDescent="0.2">
      <c r="C13">
        <v>3</v>
      </c>
      <c r="F13">
        <v>4</v>
      </c>
    </row>
    <row r="14" spans="2:9" x14ac:dyDescent="0.2">
      <c r="C14">
        <v>4</v>
      </c>
      <c r="F14">
        <v>6</v>
      </c>
    </row>
    <row r="15" spans="2:9" x14ac:dyDescent="0.2">
      <c r="C15">
        <v>4</v>
      </c>
      <c r="F15">
        <v>6</v>
      </c>
    </row>
    <row r="16" spans="2:9" x14ac:dyDescent="0.2">
      <c r="C16">
        <v>4</v>
      </c>
      <c r="F16">
        <v>7</v>
      </c>
    </row>
    <row r="17" spans="3:9" x14ac:dyDescent="0.2">
      <c r="C17">
        <v>5</v>
      </c>
    </row>
    <row r="20" spans="3:9" x14ac:dyDescent="0.2">
      <c r="C20" t="s">
        <v>402</v>
      </c>
      <c r="F20" t="s">
        <v>402</v>
      </c>
    </row>
    <row r="21" spans="3:9" x14ac:dyDescent="0.2">
      <c r="C21" t="s">
        <v>426</v>
      </c>
      <c r="F21" t="s">
        <v>426</v>
      </c>
    </row>
    <row r="22" spans="3:9" x14ac:dyDescent="0.2">
      <c r="C22">
        <v>3</v>
      </c>
      <c r="D22">
        <v>3</v>
      </c>
      <c r="F22">
        <v>3</v>
      </c>
      <c r="H22" t="s">
        <v>451</v>
      </c>
      <c r="I22">
        <f>SUM(D22:D28)</f>
        <v>15</v>
      </c>
    </row>
    <row r="23" spans="3:9" x14ac:dyDescent="0.2">
      <c r="C23">
        <v>3</v>
      </c>
      <c r="D23">
        <v>3</v>
      </c>
      <c r="F23">
        <v>3</v>
      </c>
      <c r="H23" t="s">
        <v>428</v>
      </c>
      <c r="I23">
        <v>15</v>
      </c>
    </row>
    <row r="24" spans="3:9" x14ac:dyDescent="0.2">
      <c r="C24">
        <v>3</v>
      </c>
      <c r="D24">
        <v>3</v>
      </c>
      <c r="F24">
        <v>3</v>
      </c>
      <c r="H24" t="s">
        <v>429</v>
      </c>
      <c r="I24">
        <v>15</v>
      </c>
    </row>
    <row r="25" spans="3:9" x14ac:dyDescent="0.2">
      <c r="C25">
        <v>4</v>
      </c>
      <c r="D25">
        <v>1</v>
      </c>
      <c r="F25">
        <v>4</v>
      </c>
      <c r="H25" t="s">
        <v>452</v>
      </c>
      <c r="I25">
        <v>15</v>
      </c>
    </row>
    <row r="26" spans="3:9" x14ac:dyDescent="0.2">
      <c r="C26">
        <v>6</v>
      </c>
      <c r="D26">
        <v>2</v>
      </c>
      <c r="F26">
        <v>6</v>
      </c>
    </row>
    <row r="27" spans="3:9" x14ac:dyDescent="0.2">
      <c r="C27">
        <v>6</v>
      </c>
      <c r="D27">
        <v>2</v>
      </c>
      <c r="F27">
        <v>6</v>
      </c>
    </row>
    <row r="28" spans="3:9" x14ac:dyDescent="0.2">
      <c r="C28">
        <v>7</v>
      </c>
      <c r="D28">
        <v>1</v>
      </c>
      <c r="F28">
        <v>7</v>
      </c>
    </row>
    <row r="32" spans="3:9" x14ac:dyDescent="0.2">
      <c r="C32" t="s">
        <v>402</v>
      </c>
      <c r="F32" t="s">
        <v>402</v>
      </c>
      <c r="H32" t="s">
        <v>453</v>
      </c>
    </row>
    <row r="33" spans="2:8" x14ac:dyDescent="0.2">
      <c r="C33" t="s">
        <v>426</v>
      </c>
      <c r="F33" t="s">
        <v>426</v>
      </c>
    </row>
    <row r="34" spans="2:8" x14ac:dyDescent="0.2">
      <c r="C34">
        <v>1</v>
      </c>
      <c r="D34">
        <v>2</v>
      </c>
      <c r="F34">
        <v>1</v>
      </c>
      <c r="H34" t="s">
        <v>451</v>
      </c>
    </row>
    <row r="35" spans="2:8" x14ac:dyDescent="0.2">
      <c r="C35">
        <v>2</v>
      </c>
      <c r="D35">
        <v>2</v>
      </c>
      <c r="F35">
        <v>2</v>
      </c>
      <c r="H35" t="s">
        <v>428</v>
      </c>
    </row>
    <row r="36" spans="2:8" x14ac:dyDescent="0.2">
      <c r="C36">
        <v>3</v>
      </c>
      <c r="D36">
        <v>2</v>
      </c>
      <c r="F36">
        <v>3</v>
      </c>
      <c r="H36" t="s">
        <v>429</v>
      </c>
    </row>
    <row r="37" spans="2:8" x14ac:dyDescent="0.2">
      <c r="C37">
        <v>1</v>
      </c>
      <c r="D37">
        <v>2</v>
      </c>
      <c r="F37">
        <v>1</v>
      </c>
      <c r="H37" t="s">
        <v>452</v>
      </c>
    </row>
    <row r="38" spans="2:8" x14ac:dyDescent="0.2">
      <c r="C38">
        <v>2</v>
      </c>
      <c r="D38">
        <v>2</v>
      </c>
      <c r="F38">
        <v>2</v>
      </c>
    </row>
    <row r="39" spans="2:8" x14ac:dyDescent="0.2">
      <c r="C39">
        <v>3</v>
      </c>
      <c r="D39">
        <v>2</v>
      </c>
      <c r="F39">
        <v>3</v>
      </c>
    </row>
    <row r="40" spans="2:8" x14ac:dyDescent="0.2">
      <c r="C40">
        <v>4</v>
      </c>
      <c r="D40">
        <v>1</v>
      </c>
      <c r="F40">
        <v>4</v>
      </c>
    </row>
    <row r="41" spans="2:8" x14ac:dyDescent="0.2">
      <c r="C41">
        <v>5</v>
      </c>
      <c r="D41">
        <v>1</v>
      </c>
      <c r="F41">
        <v>5</v>
      </c>
    </row>
    <row r="44" spans="2:8" x14ac:dyDescent="0.2">
      <c r="B44" s="71" t="s">
        <v>454</v>
      </c>
      <c r="C44" s="71"/>
      <c r="D44" s="71"/>
      <c r="E44" s="71"/>
      <c r="F44" s="71"/>
    </row>
    <row r="45" spans="2:8" x14ac:dyDescent="0.2">
      <c r="B45" s="71"/>
      <c r="C45" s="71"/>
      <c r="D45" s="71"/>
      <c r="E45" s="71"/>
      <c r="F45" s="71"/>
    </row>
    <row r="48" spans="2:8" x14ac:dyDescent="0.2">
      <c r="B48" t="s">
        <v>455</v>
      </c>
      <c r="C48" t="s">
        <v>363</v>
      </c>
      <c r="D48" t="s">
        <v>362</v>
      </c>
      <c r="F48" t="s">
        <v>455</v>
      </c>
      <c r="G48" t="s">
        <v>363</v>
      </c>
      <c r="H48" t="s">
        <v>362</v>
      </c>
    </row>
    <row r="49" spans="2:8" x14ac:dyDescent="0.2">
      <c r="B49">
        <v>1</v>
      </c>
      <c r="C49" t="s">
        <v>30</v>
      </c>
      <c r="D49">
        <v>1</v>
      </c>
      <c r="F49">
        <v>1</v>
      </c>
      <c r="G49" t="s">
        <v>30</v>
      </c>
      <c r="H49">
        <v>1</v>
      </c>
    </row>
    <row r="50" spans="2:8" x14ac:dyDescent="0.2">
      <c r="B50">
        <v>2</v>
      </c>
      <c r="C50" t="s">
        <v>238</v>
      </c>
      <c r="D50">
        <v>1</v>
      </c>
      <c r="F50">
        <v>2</v>
      </c>
      <c r="G50" t="s">
        <v>238</v>
      </c>
      <c r="H50">
        <v>1</v>
      </c>
    </row>
    <row r="51" spans="2:8" x14ac:dyDescent="0.2">
      <c r="B51">
        <v>3</v>
      </c>
      <c r="C51" t="s">
        <v>240</v>
      </c>
      <c r="D51">
        <v>1</v>
      </c>
      <c r="F51">
        <v>3</v>
      </c>
      <c r="G51" t="s">
        <v>240</v>
      </c>
      <c r="H51">
        <v>1</v>
      </c>
    </row>
    <row r="52" spans="2:8" x14ac:dyDescent="0.2">
      <c r="B52">
        <v>4</v>
      </c>
      <c r="C52" t="s">
        <v>242</v>
      </c>
      <c r="D52">
        <v>1</v>
      </c>
      <c r="F52">
        <v>4</v>
      </c>
      <c r="G52" t="s">
        <v>242</v>
      </c>
      <c r="H52">
        <v>1</v>
      </c>
    </row>
    <row r="53" spans="2:8" x14ac:dyDescent="0.2">
      <c r="B53">
        <v>5</v>
      </c>
      <c r="C53" t="s">
        <v>244</v>
      </c>
      <c r="D53">
        <v>1</v>
      </c>
      <c r="F53">
        <v>5</v>
      </c>
      <c r="G53" t="s">
        <v>244</v>
      </c>
      <c r="H53">
        <v>1</v>
      </c>
    </row>
    <row r="55" spans="2:8" x14ac:dyDescent="0.2">
      <c r="B55" s="51" t="s">
        <v>30</v>
      </c>
      <c r="C55" s="51">
        <v>1</v>
      </c>
      <c r="D55" s="51" t="s">
        <v>30</v>
      </c>
      <c r="E55" s="51">
        <v>1</v>
      </c>
    </row>
    <row r="56" spans="2:8" x14ac:dyDescent="0.2">
      <c r="B56" t="s">
        <v>30</v>
      </c>
      <c r="C56">
        <v>1</v>
      </c>
      <c r="D56" t="s">
        <v>238</v>
      </c>
      <c r="E56">
        <v>1</v>
      </c>
    </row>
    <row r="57" spans="2:8" x14ac:dyDescent="0.2">
      <c r="B57" t="s">
        <v>30</v>
      </c>
      <c r="C57">
        <v>1</v>
      </c>
      <c r="D57" t="s">
        <v>240</v>
      </c>
      <c r="E57">
        <v>1</v>
      </c>
    </row>
    <row r="58" spans="2:8" x14ac:dyDescent="0.2">
      <c r="B58" t="s">
        <v>30</v>
      </c>
      <c r="C58">
        <v>1</v>
      </c>
      <c r="D58" t="s">
        <v>242</v>
      </c>
      <c r="E58">
        <v>1</v>
      </c>
    </row>
    <row r="59" spans="2:8" x14ac:dyDescent="0.2">
      <c r="B59" t="s">
        <v>30</v>
      </c>
      <c r="C59">
        <v>1</v>
      </c>
      <c r="D59" t="s">
        <v>244</v>
      </c>
      <c r="E59">
        <v>1</v>
      </c>
    </row>
    <row r="60" spans="2:8" x14ac:dyDescent="0.2">
      <c r="B60" s="51" t="s">
        <v>238</v>
      </c>
      <c r="C60" s="51">
        <v>1</v>
      </c>
      <c r="D60" s="51" t="s">
        <v>30</v>
      </c>
      <c r="E60" s="51">
        <v>1</v>
      </c>
    </row>
    <row r="61" spans="2:8" x14ac:dyDescent="0.2">
      <c r="B61" s="51" t="s">
        <v>238</v>
      </c>
      <c r="C61" s="51">
        <v>1</v>
      </c>
      <c r="D61" s="51" t="s">
        <v>238</v>
      </c>
      <c r="E61" s="51">
        <v>1</v>
      </c>
    </row>
    <row r="62" spans="2:8" x14ac:dyDescent="0.2">
      <c r="B62" t="s">
        <v>238</v>
      </c>
      <c r="C62">
        <v>1</v>
      </c>
      <c r="D62" t="s">
        <v>240</v>
      </c>
      <c r="E62">
        <v>1</v>
      </c>
    </row>
    <row r="63" spans="2:8" x14ac:dyDescent="0.2">
      <c r="B63" t="s">
        <v>238</v>
      </c>
      <c r="C63">
        <v>1</v>
      </c>
      <c r="D63" t="s">
        <v>242</v>
      </c>
      <c r="E63">
        <v>1</v>
      </c>
    </row>
    <row r="64" spans="2:8" x14ac:dyDescent="0.2">
      <c r="B64" t="s">
        <v>238</v>
      </c>
      <c r="C64">
        <v>1</v>
      </c>
      <c r="D64" t="s">
        <v>244</v>
      </c>
      <c r="E64">
        <v>1</v>
      </c>
    </row>
    <row r="66" spans="2:10" x14ac:dyDescent="0.2">
      <c r="B66" t="s">
        <v>455</v>
      </c>
      <c r="C66" t="s">
        <v>363</v>
      </c>
      <c r="D66" t="s">
        <v>362</v>
      </c>
      <c r="F66" t="s">
        <v>455</v>
      </c>
      <c r="G66" t="s">
        <v>363</v>
      </c>
      <c r="H66" t="s">
        <v>362</v>
      </c>
      <c r="J66" t="s">
        <v>456</v>
      </c>
    </row>
    <row r="67" spans="2:10" x14ac:dyDescent="0.2">
      <c r="B67">
        <v>1</v>
      </c>
      <c r="C67" t="s">
        <v>30</v>
      </c>
      <c r="D67">
        <v>1</v>
      </c>
      <c r="F67">
        <v>1</v>
      </c>
      <c r="G67" t="s">
        <v>30</v>
      </c>
      <c r="H67">
        <v>1</v>
      </c>
      <c r="J67" t="s">
        <v>457</v>
      </c>
    </row>
    <row r="68" spans="2:10" x14ac:dyDescent="0.2">
      <c r="B68">
        <v>2</v>
      </c>
      <c r="C68" t="s">
        <v>238</v>
      </c>
      <c r="D68">
        <v>1</v>
      </c>
      <c r="F68">
        <v>2</v>
      </c>
      <c r="G68" t="s">
        <v>238</v>
      </c>
      <c r="H68">
        <v>1</v>
      </c>
    </row>
    <row r="69" spans="2:10" x14ac:dyDescent="0.2">
      <c r="B69">
        <v>3</v>
      </c>
      <c r="C69" t="s">
        <v>240</v>
      </c>
      <c r="D69">
        <v>1</v>
      </c>
      <c r="F69">
        <v>3</v>
      </c>
      <c r="G69" t="s">
        <v>240</v>
      </c>
      <c r="H69">
        <v>1</v>
      </c>
    </row>
    <row r="70" spans="2:10" x14ac:dyDescent="0.2">
      <c r="B70">
        <v>4</v>
      </c>
      <c r="C70" t="s">
        <v>242</v>
      </c>
      <c r="D70">
        <v>1</v>
      </c>
      <c r="F70">
        <v>4</v>
      </c>
      <c r="G70" t="s">
        <v>242</v>
      </c>
      <c r="H70">
        <v>1</v>
      </c>
    </row>
    <row r="71" spans="2:10" x14ac:dyDescent="0.2">
      <c r="B71">
        <v>5</v>
      </c>
      <c r="C71" t="s">
        <v>244</v>
      </c>
      <c r="D71">
        <v>1</v>
      </c>
      <c r="F71">
        <v>5</v>
      </c>
      <c r="G71" t="s">
        <v>244</v>
      </c>
      <c r="H71">
        <v>1</v>
      </c>
    </row>
    <row r="73" spans="2:10" x14ac:dyDescent="0.2">
      <c r="B73" t="s">
        <v>455</v>
      </c>
      <c r="C73" t="s">
        <v>363</v>
      </c>
      <c r="D73" t="s">
        <v>362</v>
      </c>
      <c r="E73" t="s">
        <v>455</v>
      </c>
      <c r="F73" t="s">
        <v>363</v>
      </c>
      <c r="G73" t="s">
        <v>362</v>
      </c>
    </row>
    <row r="74" spans="2:10" x14ac:dyDescent="0.2">
      <c r="B74">
        <v>1</v>
      </c>
      <c r="C74" t="s">
        <v>30</v>
      </c>
      <c r="D74">
        <v>1</v>
      </c>
      <c r="E74">
        <v>2</v>
      </c>
      <c r="F74" t="s">
        <v>238</v>
      </c>
      <c r="G74">
        <v>1</v>
      </c>
    </row>
    <row r="75" spans="2:10" x14ac:dyDescent="0.2">
      <c r="B75">
        <v>1</v>
      </c>
      <c r="C75" t="s">
        <v>30</v>
      </c>
      <c r="D75">
        <v>1</v>
      </c>
      <c r="E75">
        <v>3</v>
      </c>
      <c r="F75" t="s">
        <v>240</v>
      </c>
      <c r="G75">
        <v>1</v>
      </c>
    </row>
    <row r="76" spans="2:10" x14ac:dyDescent="0.2">
      <c r="B76">
        <v>1</v>
      </c>
      <c r="C76" t="s">
        <v>30</v>
      </c>
      <c r="D76">
        <v>1</v>
      </c>
      <c r="E76">
        <v>4</v>
      </c>
      <c r="F76" t="s">
        <v>242</v>
      </c>
      <c r="G76">
        <v>1</v>
      </c>
    </row>
    <row r="77" spans="2:10" x14ac:dyDescent="0.2">
      <c r="B77">
        <v>1</v>
      </c>
      <c r="C77" t="s">
        <v>30</v>
      </c>
      <c r="D77">
        <v>1</v>
      </c>
      <c r="E77">
        <v>5</v>
      </c>
      <c r="F77" t="s">
        <v>244</v>
      </c>
      <c r="G77">
        <v>1</v>
      </c>
    </row>
    <row r="78" spans="2:10" x14ac:dyDescent="0.2">
      <c r="B78">
        <v>2</v>
      </c>
      <c r="C78" t="s">
        <v>238</v>
      </c>
      <c r="D78">
        <v>1</v>
      </c>
      <c r="E78">
        <v>3</v>
      </c>
      <c r="F78" t="s">
        <v>240</v>
      </c>
      <c r="G78">
        <v>1</v>
      </c>
    </row>
    <row r="79" spans="2:10" x14ac:dyDescent="0.2">
      <c r="B79">
        <v>2</v>
      </c>
      <c r="C79" t="s">
        <v>238</v>
      </c>
      <c r="D79">
        <v>1</v>
      </c>
      <c r="E79">
        <v>4</v>
      </c>
      <c r="F79" t="s">
        <v>242</v>
      </c>
      <c r="G79">
        <v>1</v>
      </c>
    </row>
    <row r="80" spans="2:10" x14ac:dyDescent="0.2">
      <c r="B80">
        <v>2</v>
      </c>
      <c r="C80" t="s">
        <v>238</v>
      </c>
      <c r="D80">
        <v>1</v>
      </c>
      <c r="E80">
        <v>5</v>
      </c>
      <c r="F80" t="s">
        <v>244</v>
      </c>
      <c r="G80">
        <v>1</v>
      </c>
    </row>
    <row r="81" spans="2:7" x14ac:dyDescent="0.2">
      <c r="B81">
        <v>3</v>
      </c>
      <c r="C81" t="s">
        <v>240</v>
      </c>
      <c r="D81">
        <v>1</v>
      </c>
      <c r="E81">
        <v>4</v>
      </c>
      <c r="F81" t="s">
        <v>242</v>
      </c>
      <c r="G81">
        <v>1</v>
      </c>
    </row>
    <row r="82" spans="2:7" x14ac:dyDescent="0.2">
      <c r="B82">
        <v>3</v>
      </c>
      <c r="C82" t="s">
        <v>240</v>
      </c>
      <c r="D82">
        <v>1</v>
      </c>
      <c r="E82">
        <v>5</v>
      </c>
      <c r="F82" t="s">
        <v>244</v>
      </c>
      <c r="G82">
        <v>1</v>
      </c>
    </row>
    <row r="83" spans="2:7" x14ac:dyDescent="0.2">
      <c r="B83">
        <v>4</v>
      </c>
      <c r="C83" t="s">
        <v>242</v>
      </c>
      <c r="D83">
        <v>1</v>
      </c>
      <c r="E83">
        <v>5</v>
      </c>
      <c r="F83" t="s">
        <v>244</v>
      </c>
      <c r="G83">
        <v>1</v>
      </c>
    </row>
    <row r="85" spans="2:7" s="6" customFormat="1" x14ac:dyDescent="0.2"/>
    <row r="88" spans="2:7" x14ac:dyDescent="0.2">
      <c r="B88" t="s">
        <v>458</v>
      </c>
    </row>
    <row r="90" spans="2:7" x14ac:dyDescent="0.2">
      <c r="C90" t="s">
        <v>459</v>
      </c>
      <c r="E90" t="s">
        <v>461</v>
      </c>
    </row>
    <row r="91" spans="2:7" x14ac:dyDescent="0.2">
      <c r="C91" t="s">
        <v>460</v>
      </c>
      <c r="E91" t="s">
        <v>420</v>
      </c>
    </row>
    <row r="93" spans="2:7" x14ac:dyDescent="0.2">
      <c r="E93" t="s">
        <v>461</v>
      </c>
    </row>
    <row r="94" spans="2:7" x14ac:dyDescent="0.2">
      <c r="G94" t="s">
        <v>450</v>
      </c>
    </row>
    <row r="96" spans="2:7" x14ac:dyDescent="0.2">
      <c r="E96" t="s">
        <v>420</v>
      </c>
    </row>
    <row r="97" spans="5:11" x14ac:dyDescent="0.2">
      <c r="G97" t="s">
        <v>462</v>
      </c>
    </row>
    <row r="98" spans="5:11" x14ac:dyDescent="0.2">
      <c r="G98" t="s">
        <v>463</v>
      </c>
    </row>
    <row r="100" spans="5:11" x14ac:dyDescent="0.2">
      <c r="E100" t="s">
        <v>451</v>
      </c>
    </row>
    <row r="101" spans="5:11" x14ac:dyDescent="0.2">
      <c r="F101" t="s">
        <v>464</v>
      </c>
    </row>
    <row r="103" spans="5:11" x14ac:dyDescent="0.2">
      <c r="E103" t="s">
        <v>428</v>
      </c>
    </row>
    <row r="104" spans="5:11" x14ac:dyDescent="0.2">
      <c r="F104" t="s">
        <v>465</v>
      </c>
    </row>
    <row r="105" spans="5:11" x14ac:dyDescent="0.2">
      <c r="G105" t="s">
        <v>464</v>
      </c>
      <c r="H105" t="s">
        <v>466</v>
      </c>
      <c r="J105" t="s">
        <v>453</v>
      </c>
      <c r="K105" t="s">
        <v>470</v>
      </c>
    </row>
    <row r="107" spans="5:11" x14ac:dyDescent="0.2">
      <c r="E107" t="s">
        <v>467</v>
      </c>
    </row>
    <row r="108" spans="5:11" x14ac:dyDescent="0.2">
      <c r="F108" t="s">
        <v>468</v>
      </c>
    </row>
    <row r="109" spans="5:11" x14ac:dyDescent="0.2">
      <c r="G109" t="s">
        <v>464</v>
      </c>
      <c r="H109" t="s">
        <v>466</v>
      </c>
    </row>
    <row r="111" spans="5:11" x14ac:dyDescent="0.2">
      <c r="E111" t="s">
        <v>440</v>
      </c>
    </row>
    <row r="112" spans="5:11" x14ac:dyDescent="0.2">
      <c r="F112" t="s">
        <v>469</v>
      </c>
    </row>
    <row r="116" spans="2:8" s="6" customFormat="1" x14ac:dyDescent="0.2">
      <c r="B116" s="6" t="s">
        <v>420</v>
      </c>
    </row>
    <row r="118" spans="2:8" x14ac:dyDescent="0.2">
      <c r="C118" s="6"/>
      <c r="D118" s="6"/>
      <c r="F118" s="6"/>
      <c r="G118" s="6"/>
      <c r="H118" s="6"/>
    </row>
    <row r="119" spans="2:8" x14ac:dyDescent="0.2">
      <c r="C119" s="6"/>
      <c r="D119" s="6"/>
      <c r="F119" s="6"/>
      <c r="G119" s="6"/>
      <c r="H119" s="6"/>
    </row>
    <row r="120" spans="2:8" x14ac:dyDescent="0.2">
      <c r="C120" s="6"/>
      <c r="D120" s="6"/>
      <c r="F120" s="6"/>
      <c r="G120" s="6"/>
      <c r="H120" s="6"/>
    </row>
    <row r="121" spans="2:8" x14ac:dyDescent="0.2">
      <c r="C121" s="6"/>
      <c r="D121" s="6"/>
      <c r="F121" s="6"/>
      <c r="G121" s="6"/>
      <c r="H121" s="6"/>
    </row>
    <row r="122" spans="2:8" x14ac:dyDescent="0.2">
      <c r="C122" s="6"/>
      <c r="D122" s="6"/>
      <c r="F122" s="6"/>
      <c r="G122" s="6"/>
      <c r="H122" s="6"/>
    </row>
    <row r="123" spans="2:8" x14ac:dyDescent="0.2">
      <c r="C123" s="6"/>
      <c r="D123" s="6"/>
      <c r="F123" s="6"/>
      <c r="G123" s="6"/>
      <c r="H123" s="6"/>
    </row>
    <row r="124" spans="2:8" x14ac:dyDescent="0.2">
      <c r="C124" s="6"/>
      <c r="D124" s="6"/>
      <c r="F124" s="6"/>
      <c r="G124" s="6"/>
      <c r="H124" s="6"/>
    </row>
    <row r="125" spans="2:8" x14ac:dyDescent="0.2">
      <c r="C125" s="6"/>
      <c r="D125" s="6"/>
      <c r="F125" s="6"/>
      <c r="G125" s="6"/>
      <c r="H125" s="6"/>
    </row>
    <row r="126" spans="2:8" x14ac:dyDescent="0.2">
      <c r="C126" s="6"/>
      <c r="D126" s="6"/>
      <c r="F126" s="6"/>
      <c r="G126" s="6"/>
      <c r="H126" s="6"/>
    </row>
    <row r="127" spans="2:8" x14ac:dyDescent="0.2">
      <c r="F127" s="6"/>
      <c r="G127" s="6"/>
      <c r="H127" s="6"/>
    </row>
    <row r="130" spans="3:11" ht="17" thickBot="1" x14ac:dyDescent="0.25">
      <c r="I130" t="s">
        <v>420</v>
      </c>
      <c r="K130" t="s">
        <v>474</v>
      </c>
    </row>
    <row r="131" spans="3:11" x14ac:dyDescent="0.2">
      <c r="C131" s="32" t="s">
        <v>471</v>
      </c>
      <c r="D131" s="33" t="s">
        <v>472</v>
      </c>
      <c r="E131" s="52" t="s">
        <v>473</v>
      </c>
      <c r="G131" t="s">
        <v>363</v>
      </c>
      <c r="I131" t="s">
        <v>363</v>
      </c>
      <c r="K131" t="s">
        <v>363</v>
      </c>
    </row>
    <row r="132" spans="3:11" x14ac:dyDescent="0.2">
      <c r="C132" s="35" t="s">
        <v>16</v>
      </c>
      <c r="D132" s="6" t="s">
        <v>26</v>
      </c>
      <c r="E132" s="53" t="s">
        <v>204</v>
      </c>
      <c r="G132" t="s">
        <v>30</v>
      </c>
      <c r="I132" t="s">
        <v>30</v>
      </c>
      <c r="K132" t="s">
        <v>30</v>
      </c>
    </row>
    <row r="133" spans="3:11" x14ac:dyDescent="0.2">
      <c r="C133" s="35"/>
      <c r="D133" s="6"/>
      <c r="E133" s="53"/>
      <c r="G133" t="s">
        <v>238</v>
      </c>
      <c r="I133" t="s">
        <v>238</v>
      </c>
      <c r="K133" t="s">
        <v>238</v>
      </c>
    </row>
    <row r="134" spans="3:11" x14ac:dyDescent="0.2">
      <c r="C134" s="35"/>
      <c r="D134" s="6"/>
      <c r="E134" s="53"/>
      <c r="G134" t="s">
        <v>240</v>
      </c>
      <c r="I134" t="s">
        <v>240</v>
      </c>
      <c r="K134" t="s">
        <v>240</v>
      </c>
    </row>
    <row r="135" spans="3:11" x14ac:dyDescent="0.2">
      <c r="C135" s="35"/>
      <c r="D135" s="6"/>
      <c r="E135" s="53"/>
      <c r="I135" t="s">
        <v>242</v>
      </c>
      <c r="K135" t="s">
        <v>30</v>
      </c>
    </row>
    <row r="136" spans="3:11" x14ac:dyDescent="0.2">
      <c r="C136" s="35"/>
      <c r="D136" s="6"/>
      <c r="E136" s="53"/>
      <c r="I136" t="s">
        <v>244</v>
      </c>
      <c r="K136" t="s">
        <v>238</v>
      </c>
    </row>
    <row r="137" spans="3:11" x14ac:dyDescent="0.2">
      <c r="C137" s="35"/>
      <c r="D137" s="6"/>
      <c r="E137" s="53"/>
      <c r="I137" t="s">
        <v>246</v>
      </c>
      <c r="K137" t="s">
        <v>240</v>
      </c>
    </row>
    <row r="138" spans="3:11" x14ac:dyDescent="0.2">
      <c r="C138" s="35"/>
      <c r="D138" s="6"/>
      <c r="E138" s="53"/>
      <c r="K138" t="s">
        <v>242</v>
      </c>
    </row>
    <row r="139" spans="3:11" ht="17" thickBot="1" x14ac:dyDescent="0.25">
      <c r="C139" s="37"/>
      <c r="D139" s="38"/>
      <c r="E139" s="54"/>
      <c r="K139" t="s">
        <v>244</v>
      </c>
    </row>
    <row r="140" spans="3:11" x14ac:dyDescent="0.2">
      <c r="C140" s="35" t="s">
        <v>16</v>
      </c>
      <c r="D140" s="6" t="s">
        <v>26</v>
      </c>
      <c r="E140" s="36" t="s">
        <v>204</v>
      </c>
      <c r="G140" s="6" t="s">
        <v>363</v>
      </c>
      <c r="K140" t="s">
        <v>246</v>
      </c>
    </row>
    <row r="141" spans="3:11" x14ac:dyDescent="0.2">
      <c r="C141" s="35"/>
      <c r="D141" s="6"/>
      <c r="E141" s="36"/>
      <c r="G141" t="s">
        <v>30</v>
      </c>
    </row>
    <row r="142" spans="3:11" x14ac:dyDescent="0.2">
      <c r="C142" s="35"/>
      <c r="D142" s="6"/>
      <c r="E142" s="36"/>
      <c r="G142" t="s">
        <v>238</v>
      </c>
    </row>
    <row r="143" spans="3:11" x14ac:dyDescent="0.2">
      <c r="C143" s="35"/>
      <c r="D143" s="6"/>
      <c r="E143" s="36"/>
      <c r="G143" t="s">
        <v>240</v>
      </c>
    </row>
    <row r="144" spans="3:11" x14ac:dyDescent="0.2">
      <c r="C144" s="35"/>
      <c r="D144" s="6"/>
      <c r="E144" s="36"/>
      <c r="G144" t="s">
        <v>242</v>
      </c>
    </row>
    <row r="145" spans="3:7" x14ac:dyDescent="0.2">
      <c r="C145" s="35"/>
      <c r="D145" s="6"/>
      <c r="E145" s="36"/>
      <c r="G145" t="s">
        <v>244</v>
      </c>
    </row>
    <row r="146" spans="3:7" x14ac:dyDescent="0.2">
      <c r="C146" s="35"/>
      <c r="D146" s="6"/>
      <c r="E146" s="36"/>
      <c r="G146" t="s">
        <v>246</v>
      </c>
    </row>
    <row r="147" spans="3:7" x14ac:dyDescent="0.2">
      <c r="C147" s="35"/>
      <c r="D147" s="6"/>
      <c r="E147" s="36"/>
    </row>
    <row r="148" spans="3:7" ht="17" thickBot="1" x14ac:dyDescent="0.25">
      <c r="C148" s="37"/>
      <c r="D148" s="38"/>
      <c r="E148" s="39"/>
    </row>
  </sheetData>
  <mergeCells count="1">
    <mergeCell ref="B44:F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F0EE-D4D7-EC47-9CC1-90917947B546}">
  <dimension ref="B2:K131"/>
  <sheetViews>
    <sheetView topLeftCell="A86" zoomScale="200" zoomScaleNormal="200" workbookViewId="0">
      <selection activeCell="H95" sqref="H95"/>
    </sheetView>
  </sheetViews>
  <sheetFormatPr baseColWidth="10" defaultRowHeight="16" x14ac:dyDescent="0.2"/>
  <cols>
    <col min="3" max="3" width="13.1640625" bestFit="1" customWidth="1"/>
    <col min="4" max="4" width="3.1640625" bestFit="1" customWidth="1"/>
  </cols>
  <sheetData>
    <row r="2" spans="2:11" x14ac:dyDescent="0.2">
      <c r="B2" t="s">
        <v>475</v>
      </c>
    </row>
    <row r="4" spans="2:11" x14ac:dyDescent="0.2">
      <c r="C4" t="s">
        <v>476</v>
      </c>
      <c r="D4">
        <v>50</v>
      </c>
    </row>
    <row r="6" spans="2:11" ht="17" thickBot="1" x14ac:dyDescent="0.25"/>
    <row r="7" spans="2:11" ht="17" thickBot="1" x14ac:dyDescent="0.25">
      <c r="E7">
        <v>1</v>
      </c>
      <c r="F7">
        <v>95</v>
      </c>
      <c r="G7">
        <f>IF(F7&gt;$I$7,1,0)</f>
        <v>1</v>
      </c>
      <c r="I7" s="55">
        <f>AVERAGE(F7:F56)</f>
        <v>65.78</v>
      </c>
      <c r="K7">
        <f>SUM(G7:G56)</f>
        <v>27</v>
      </c>
    </row>
    <row r="8" spans="2:11" x14ac:dyDescent="0.2">
      <c r="E8">
        <v>2</v>
      </c>
      <c r="F8">
        <v>66</v>
      </c>
      <c r="G8">
        <f t="shared" ref="G8:G56" si="0">IF(F8&gt;$I$7,1,0)</f>
        <v>1</v>
      </c>
    </row>
    <row r="9" spans="2:11" x14ac:dyDescent="0.2">
      <c r="E9">
        <v>3</v>
      </c>
      <c r="F9">
        <v>40</v>
      </c>
      <c r="G9">
        <f t="shared" si="0"/>
        <v>0</v>
      </c>
    </row>
    <row r="10" spans="2:11" x14ac:dyDescent="0.2">
      <c r="E10">
        <v>4</v>
      </c>
      <c r="F10">
        <v>74</v>
      </c>
      <c r="G10">
        <f t="shared" si="0"/>
        <v>1</v>
      </c>
    </row>
    <row r="11" spans="2:11" x14ac:dyDescent="0.2">
      <c r="E11">
        <v>5</v>
      </c>
      <c r="F11">
        <v>56</v>
      </c>
      <c r="G11">
        <f t="shared" si="0"/>
        <v>0</v>
      </c>
    </row>
    <row r="12" spans="2:11" x14ac:dyDescent="0.2">
      <c r="E12">
        <v>6</v>
      </c>
      <c r="F12">
        <v>63</v>
      </c>
      <c r="G12">
        <f t="shared" si="0"/>
        <v>0</v>
      </c>
    </row>
    <row r="13" spans="2:11" x14ac:dyDescent="0.2">
      <c r="E13">
        <v>7</v>
      </c>
      <c r="F13">
        <v>67</v>
      </c>
      <c r="G13">
        <f t="shared" si="0"/>
        <v>1</v>
      </c>
    </row>
    <row r="14" spans="2:11" x14ac:dyDescent="0.2">
      <c r="E14">
        <v>8</v>
      </c>
      <c r="F14">
        <v>88</v>
      </c>
      <c r="G14">
        <f t="shared" si="0"/>
        <v>1</v>
      </c>
    </row>
    <row r="15" spans="2:11" x14ac:dyDescent="0.2">
      <c r="E15">
        <v>9</v>
      </c>
      <c r="F15">
        <v>60</v>
      </c>
      <c r="G15">
        <f t="shared" si="0"/>
        <v>0</v>
      </c>
    </row>
    <row r="16" spans="2:11" x14ac:dyDescent="0.2">
      <c r="E16">
        <v>10</v>
      </c>
      <c r="F16">
        <v>70</v>
      </c>
      <c r="G16">
        <f t="shared" si="0"/>
        <v>1</v>
      </c>
    </row>
    <row r="17" spans="5:7" x14ac:dyDescent="0.2">
      <c r="E17">
        <v>11</v>
      </c>
      <c r="F17">
        <v>35</v>
      </c>
      <c r="G17">
        <f t="shared" si="0"/>
        <v>0</v>
      </c>
    </row>
    <row r="18" spans="5:7" x14ac:dyDescent="0.2">
      <c r="E18">
        <v>12</v>
      </c>
      <c r="F18">
        <v>79</v>
      </c>
      <c r="G18">
        <f t="shared" si="0"/>
        <v>1</v>
      </c>
    </row>
    <row r="19" spans="5:7" x14ac:dyDescent="0.2">
      <c r="E19">
        <v>13</v>
      </c>
      <c r="F19">
        <v>69</v>
      </c>
      <c r="G19">
        <f t="shared" si="0"/>
        <v>1</v>
      </c>
    </row>
    <row r="20" spans="5:7" x14ac:dyDescent="0.2">
      <c r="E20">
        <v>14</v>
      </c>
      <c r="F20">
        <v>69</v>
      </c>
      <c r="G20">
        <f t="shared" si="0"/>
        <v>1</v>
      </c>
    </row>
    <row r="21" spans="5:7" x14ac:dyDescent="0.2">
      <c r="E21">
        <v>15</v>
      </c>
      <c r="F21">
        <v>39</v>
      </c>
      <c r="G21">
        <f t="shared" si="0"/>
        <v>0</v>
      </c>
    </row>
    <row r="22" spans="5:7" x14ac:dyDescent="0.2">
      <c r="E22">
        <v>16</v>
      </c>
      <c r="F22">
        <v>46</v>
      </c>
      <c r="G22">
        <f t="shared" si="0"/>
        <v>0</v>
      </c>
    </row>
    <row r="23" spans="5:7" x14ac:dyDescent="0.2">
      <c r="E23">
        <v>17</v>
      </c>
      <c r="F23">
        <v>68</v>
      </c>
      <c r="G23">
        <f t="shared" si="0"/>
        <v>1</v>
      </c>
    </row>
    <row r="24" spans="5:7" x14ac:dyDescent="0.2">
      <c r="E24">
        <v>18</v>
      </c>
      <c r="F24">
        <v>90</v>
      </c>
      <c r="G24">
        <f t="shared" si="0"/>
        <v>1</v>
      </c>
    </row>
    <row r="25" spans="5:7" x14ac:dyDescent="0.2">
      <c r="E25">
        <v>19</v>
      </c>
      <c r="F25">
        <v>40</v>
      </c>
      <c r="G25">
        <f t="shared" si="0"/>
        <v>0</v>
      </c>
    </row>
    <row r="26" spans="5:7" x14ac:dyDescent="0.2">
      <c r="E26">
        <v>20</v>
      </c>
      <c r="F26">
        <v>47</v>
      </c>
      <c r="G26">
        <f t="shared" si="0"/>
        <v>0</v>
      </c>
    </row>
    <row r="27" spans="5:7" x14ac:dyDescent="0.2">
      <c r="E27">
        <v>21</v>
      </c>
      <c r="F27">
        <v>35</v>
      </c>
      <c r="G27">
        <f t="shared" si="0"/>
        <v>0</v>
      </c>
    </row>
    <row r="28" spans="5:7" x14ac:dyDescent="0.2">
      <c r="E28">
        <v>22</v>
      </c>
      <c r="F28">
        <v>99</v>
      </c>
      <c r="G28">
        <f t="shared" si="0"/>
        <v>1</v>
      </c>
    </row>
    <row r="29" spans="5:7" x14ac:dyDescent="0.2">
      <c r="E29">
        <v>23</v>
      </c>
      <c r="F29">
        <v>81</v>
      </c>
      <c r="G29">
        <f t="shared" si="0"/>
        <v>1</v>
      </c>
    </row>
    <row r="30" spans="5:7" x14ac:dyDescent="0.2">
      <c r="E30">
        <v>24</v>
      </c>
      <c r="F30">
        <v>88</v>
      </c>
      <c r="G30">
        <f t="shared" si="0"/>
        <v>1</v>
      </c>
    </row>
    <row r="31" spans="5:7" x14ac:dyDescent="0.2">
      <c r="E31">
        <v>25</v>
      </c>
      <c r="F31">
        <v>32</v>
      </c>
      <c r="G31">
        <f t="shared" si="0"/>
        <v>0</v>
      </c>
    </row>
    <row r="32" spans="5:7" x14ac:dyDescent="0.2">
      <c r="E32">
        <v>26</v>
      </c>
      <c r="F32">
        <v>90</v>
      </c>
      <c r="G32">
        <f t="shared" si="0"/>
        <v>1</v>
      </c>
    </row>
    <row r="33" spans="5:7" x14ac:dyDescent="0.2">
      <c r="E33">
        <v>27</v>
      </c>
      <c r="F33">
        <v>51</v>
      </c>
      <c r="G33">
        <f t="shared" si="0"/>
        <v>0</v>
      </c>
    </row>
    <row r="34" spans="5:7" x14ac:dyDescent="0.2">
      <c r="E34">
        <v>28</v>
      </c>
      <c r="F34">
        <v>80</v>
      </c>
      <c r="G34">
        <f t="shared" si="0"/>
        <v>1</v>
      </c>
    </row>
    <row r="35" spans="5:7" x14ac:dyDescent="0.2">
      <c r="E35">
        <v>29</v>
      </c>
      <c r="F35">
        <v>33</v>
      </c>
      <c r="G35">
        <f t="shared" si="0"/>
        <v>0</v>
      </c>
    </row>
    <row r="36" spans="5:7" x14ac:dyDescent="0.2">
      <c r="E36">
        <v>30</v>
      </c>
      <c r="F36">
        <v>77</v>
      </c>
      <c r="G36">
        <f t="shared" si="0"/>
        <v>1</v>
      </c>
    </row>
    <row r="37" spans="5:7" x14ac:dyDescent="0.2">
      <c r="E37">
        <v>31</v>
      </c>
      <c r="F37">
        <v>68</v>
      </c>
      <c r="G37">
        <f t="shared" si="0"/>
        <v>1</v>
      </c>
    </row>
    <row r="38" spans="5:7" x14ac:dyDescent="0.2">
      <c r="E38">
        <v>32</v>
      </c>
      <c r="F38">
        <v>64</v>
      </c>
      <c r="G38">
        <f t="shared" si="0"/>
        <v>0</v>
      </c>
    </row>
    <row r="39" spans="5:7" x14ac:dyDescent="0.2">
      <c r="E39">
        <v>33</v>
      </c>
      <c r="F39">
        <v>89</v>
      </c>
      <c r="G39">
        <f t="shared" si="0"/>
        <v>1</v>
      </c>
    </row>
    <row r="40" spans="5:7" x14ac:dyDescent="0.2">
      <c r="E40">
        <v>34</v>
      </c>
      <c r="F40">
        <v>47</v>
      </c>
      <c r="G40">
        <f t="shared" si="0"/>
        <v>0</v>
      </c>
    </row>
    <row r="41" spans="5:7" x14ac:dyDescent="0.2">
      <c r="E41">
        <v>35</v>
      </c>
      <c r="F41">
        <v>52</v>
      </c>
      <c r="G41">
        <f t="shared" si="0"/>
        <v>0</v>
      </c>
    </row>
    <row r="42" spans="5:7" x14ac:dyDescent="0.2">
      <c r="E42">
        <v>36</v>
      </c>
      <c r="F42">
        <v>65</v>
      </c>
      <c r="G42">
        <f t="shared" si="0"/>
        <v>0</v>
      </c>
    </row>
    <row r="43" spans="5:7" x14ac:dyDescent="0.2">
      <c r="E43">
        <v>37</v>
      </c>
      <c r="F43">
        <v>97</v>
      </c>
      <c r="G43">
        <f t="shared" si="0"/>
        <v>1</v>
      </c>
    </row>
    <row r="44" spans="5:7" x14ac:dyDescent="0.2">
      <c r="E44">
        <v>38</v>
      </c>
      <c r="F44">
        <v>61</v>
      </c>
      <c r="G44">
        <f t="shared" si="0"/>
        <v>0</v>
      </c>
    </row>
    <row r="45" spans="5:7" x14ac:dyDescent="0.2">
      <c r="E45">
        <v>39</v>
      </c>
      <c r="F45">
        <v>73</v>
      </c>
      <c r="G45">
        <f t="shared" si="0"/>
        <v>1</v>
      </c>
    </row>
    <row r="46" spans="5:7" x14ac:dyDescent="0.2">
      <c r="E46">
        <v>40</v>
      </c>
      <c r="F46">
        <v>89</v>
      </c>
      <c r="G46">
        <f t="shared" si="0"/>
        <v>1</v>
      </c>
    </row>
    <row r="47" spans="5:7" x14ac:dyDescent="0.2">
      <c r="E47">
        <v>41</v>
      </c>
      <c r="F47">
        <v>61</v>
      </c>
      <c r="G47">
        <f t="shared" si="0"/>
        <v>0</v>
      </c>
    </row>
    <row r="48" spans="5:7" x14ac:dyDescent="0.2">
      <c r="E48">
        <v>42</v>
      </c>
      <c r="F48">
        <v>76</v>
      </c>
      <c r="G48">
        <f t="shared" si="0"/>
        <v>1</v>
      </c>
    </row>
    <row r="49" spans="5:7" x14ac:dyDescent="0.2">
      <c r="E49">
        <v>43</v>
      </c>
      <c r="F49">
        <v>88</v>
      </c>
      <c r="G49">
        <f t="shared" si="0"/>
        <v>1</v>
      </c>
    </row>
    <row r="50" spans="5:7" x14ac:dyDescent="0.2">
      <c r="E50">
        <v>44</v>
      </c>
      <c r="F50">
        <v>39</v>
      </c>
      <c r="G50">
        <f t="shared" si="0"/>
        <v>0</v>
      </c>
    </row>
    <row r="51" spans="5:7" x14ac:dyDescent="0.2">
      <c r="E51">
        <v>45</v>
      </c>
      <c r="F51">
        <v>53</v>
      </c>
      <c r="G51">
        <f t="shared" si="0"/>
        <v>0</v>
      </c>
    </row>
    <row r="52" spans="5:7" x14ac:dyDescent="0.2">
      <c r="E52">
        <v>46</v>
      </c>
      <c r="F52">
        <v>81</v>
      </c>
      <c r="G52">
        <f t="shared" si="0"/>
        <v>1</v>
      </c>
    </row>
    <row r="53" spans="5:7" x14ac:dyDescent="0.2">
      <c r="E53">
        <v>47</v>
      </c>
      <c r="F53">
        <v>50</v>
      </c>
      <c r="G53">
        <f t="shared" si="0"/>
        <v>0</v>
      </c>
    </row>
    <row r="54" spans="5:7" x14ac:dyDescent="0.2">
      <c r="E54">
        <v>48</v>
      </c>
      <c r="F54">
        <v>57</v>
      </c>
      <c r="G54">
        <f t="shared" si="0"/>
        <v>0</v>
      </c>
    </row>
    <row r="55" spans="5:7" x14ac:dyDescent="0.2">
      <c r="E55">
        <v>49</v>
      </c>
      <c r="F55">
        <v>70</v>
      </c>
      <c r="G55">
        <f t="shared" si="0"/>
        <v>1</v>
      </c>
    </row>
    <row r="56" spans="5:7" x14ac:dyDescent="0.2">
      <c r="E56">
        <v>50</v>
      </c>
      <c r="F56">
        <v>82</v>
      </c>
      <c r="G56">
        <f t="shared" si="0"/>
        <v>1</v>
      </c>
    </row>
    <row r="78" spans="2:6" x14ac:dyDescent="0.2">
      <c r="B78" t="s">
        <v>477</v>
      </c>
    </row>
    <row r="80" spans="2:6" x14ac:dyDescent="0.2">
      <c r="C80" t="s">
        <v>294</v>
      </c>
      <c r="E80" t="s">
        <v>298</v>
      </c>
      <c r="F80" t="s">
        <v>480</v>
      </c>
    </row>
    <row r="81" spans="3:6" x14ac:dyDescent="0.2">
      <c r="C81" t="s">
        <v>478</v>
      </c>
      <c r="E81" t="s">
        <v>481</v>
      </c>
      <c r="F81" t="s">
        <v>480</v>
      </c>
    </row>
    <row r="82" spans="3:6" x14ac:dyDescent="0.2">
      <c r="C82" t="s">
        <v>479</v>
      </c>
      <c r="E82" t="s">
        <v>481</v>
      </c>
      <c r="F82" t="s">
        <v>482</v>
      </c>
    </row>
    <row r="128" spans="2:7" x14ac:dyDescent="0.2">
      <c r="B128" t="s">
        <v>483</v>
      </c>
      <c r="C128" t="s">
        <v>484</v>
      </c>
      <c r="F128" t="s">
        <v>363</v>
      </c>
      <c r="G128" t="s">
        <v>485</v>
      </c>
    </row>
    <row r="129" spans="2:7" x14ac:dyDescent="0.2">
      <c r="B129" t="s">
        <v>30</v>
      </c>
      <c r="C129">
        <v>0</v>
      </c>
      <c r="G129" t="s">
        <v>486</v>
      </c>
    </row>
    <row r="130" spans="2:7" x14ac:dyDescent="0.2">
      <c r="B130" t="s">
        <v>238</v>
      </c>
      <c r="C130">
        <v>1</v>
      </c>
      <c r="G130" t="s">
        <v>487</v>
      </c>
    </row>
    <row r="131" spans="2:7" x14ac:dyDescent="0.2">
      <c r="B131" t="s">
        <v>240</v>
      </c>
      <c r="C131">
        <v>0</v>
      </c>
      <c r="G131" t="s">
        <v>104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1267-B294-C146-9164-EFF59246F25C}">
  <dimension ref="B2:L29"/>
  <sheetViews>
    <sheetView zoomScale="200" zoomScaleNormal="200" workbookViewId="0">
      <selection activeCell="F17" sqref="F17"/>
    </sheetView>
  </sheetViews>
  <sheetFormatPr baseColWidth="10" defaultRowHeight="16" x14ac:dyDescent="0.2"/>
  <cols>
    <col min="9" max="9" width="12.5" bestFit="1" customWidth="1"/>
    <col min="12" max="12" width="12.6640625" bestFit="1" customWidth="1"/>
  </cols>
  <sheetData>
    <row r="2" spans="2:12" x14ac:dyDescent="0.2">
      <c r="B2" t="s">
        <v>60</v>
      </c>
      <c r="I2" t="s">
        <v>69</v>
      </c>
    </row>
    <row r="4" spans="2:12" ht="17" thickBot="1" x14ac:dyDescent="0.25">
      <c r="B4" t="s">
        <v>361</v>
      </c>
      <c r="C4" t="s">
        <v>488</v>
      </c>
      <c r="D4" t="s">
        <v>66</v>
      </c>
      <c r="E4" t="s">
        <v>442</v>
      </c>
      <c r="F4" t="s">
        <v>492</v>
      </c>
      <c r="I4" t="s">
        <v>489</v>
      </c>
      <c r="J4" t="s">
        <v>490</v>
      </c>
      <c r="K4" t="s">
        <v>66</v>
      </c>
      <c r="L4" t="s">
        <v>491</v>
      </c>
    </row>
    <row r="5" spans="2:12" ht="17" thickBot="1" x14ac:dyDescent="0.25">
      <c r="B5" s="49">
        <v>1</v>
      </c>
      <c r="C5" s="56" t="s">
        <v>347</v>
      </c>
      <c r="D5" s="56">
        <v>10000</v>
      </c>
      <c r="E5" s="50">
        <v>1</v>
      </c>
      <c r="I5">
        <v>1</v>
      </c>
      <c r="J5">
        <v>1</v>
      </c>
      <c r="K5">
        <v>2000</v>
      </c>
    </row>
    <row r="6" spans="2:12" x14ac:dyDescent="0.2">
      <c r="B6">
        <v>2</v>
      </c>
      <c r="C6" t="s">
        <v>365</v>
      </c>
      <c r="D6">
        <v>15000</v>
      </c>
      <c r="E6">
        <v>2</v>
      </c>
      <c r="I6">
        <v>2</v>
      </c>
      <c r="J6">
        <v>1</v>
      </c>
      <c r="K6">
        <v>2000</v>
      </c>
    </row>
    <row r="7" spans="2:12" x14ac:dyDescent="0.2">
      <c r="B7">
        <v>3</v>
      </c>
      <c r="C7" t="s">
        <v>364</v>
      </c>
      <c r="D7">
        <v>20000</v>
      </c>
      <c r="E7">
        <v>1</v>
      </c>
      <c r="I7">
        <v>3</v>
      </c>
      <c r="J7">
        <v>1</v>
      </c>
      <c r="K7">
        <v>2000</v>
      </c>
    </row>
    <row r="8" spans="2:12" x14ac:dyDescent="0.2">
      <c r="B8">
        <v>4</v>
      </c>
      <c r="C8" t="s">
        <v>366</v>
      </c>
      <c r="D8">
        <v>40000</v>
      </c>
      <c r="E8">
        <v>3</v>
      </c>
      <c r="I8">
        <v>4</v>
      </c>
      <c r="J8">
        <v>1</v>
      </c>
      <c r="K8">
        <v>2100</v>
      </c>
    </row>
    <row r="9" spans="2:12" x14ac:dyDescent="0.2">
      <c r="I9">
        <v>5</v>
      </c>
      <c r="J9">
        <v>1</v>
      </c>
      <c r="K9">
        <v>3000</v>
      </c>
    </row>
    <row r="10" spans="2:12" x14ac:dyDescent="0.2">
      <c r="I10">
        <v>6</v>
      </c>
      <c r="J10">
        <v>1</v>
      </c>
      <c r="K10">
        <v>3500</v>
      </c>
    </row>
    <row r="13" spans="2:12" x14ac:dyDescent="0.2">
      <c r="I13" t="s">
        <v>493</v>
      </c>
    </row>
    <row r="16" spans="2:12" x14ac:dyDescent="0.2">
      <c r="F16" t="s">
        <v>60</v>
      </c>
      <c r="I16" t="s">
        <v>497</v>
      </c>
      <c r="J16" t="s">
        <v>494</v>
      </c>
    </row>
    <row r="17" spans="2:10" x14ac:dyDescent="0.2">
      <c r="I17" t="s">
        <v>495</v>
      </c>
      <c r="J17" t="s">
        <v>496</v>
      </c>
    </row>
    <row r="19" spans="2:10" x14ac:dyDescent="0.2">
      <c r="F19" t="s">
        <v>69</v>
      </c>
    </row>
    <row r="21" spans="2:10" x14ac:dyDescent="0.2">
      <c r="I21">
        <v>10</v>
      </c>
      <c r="J21" t="s">
        <v>498</v>
      </c>
    </row>
    <row r="22" spans="2:10" x14ac:dyDescent="0.2">
      <c r="I22">
        <v>11</v>
      </c>
    </row>
    <row r="27" spans="2:10" x14ac:dyDescent="0.2">
      <c r="B27" t="s">
        <v>326</v>
      </c>
    </row>
    <row r="29" spans="2:10" x14ac:dyDescent="0.2">
      <c r="B29" t="s">
        <v>499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4F6B-8431-7045-BD00-42A9781A59FE}">
  <dimension ref="B2:K83"/>
  <sheetViews>
    <sheetView topLeftCell="A61" zoomScale="200" zoomScaleNormal="200" workbookViewId="0">
      <selection activeCell="E75" sqref="E75"/>
    </sheetView>
  </sheetViews>
  <sheetFormatPr baseColWidth="10" defaultRowHeight="16" x14ac:dyDescent="0.2"/>
  <cols>
    <col min="2" max="2" width="21.5" bestFit="1" customWidth="1"/>
    <col min="3" max="3" width="13.33203125" bestFit="1" customWidth="1"/>
    <col min="5" max="5" width="19.83203125" bestFit="1" customWidth="1"/>
    <col min="6" max="6" width="11.5" bestFit="1" customWidth="1"/>
    <col min="7" max="7" width="12.33203125" bestFit="1" customWidth="1"/>
  </cols>
  <sheetData>
    <row r="2" spans="2:11" x14ac:dyDescent="0.2">
      <c r="B2" t="s">
        <v>500</v>
      </c>
    </row>
    <row r="3" spans="2:11" x14ac:dyDescent="0.2">
      <c r="C3" t="s">
        <v>501</v>
      </c>
    </row>
    <row r="4" spans="2:11" x14ac:dyDescent="0.2">
      <c r="C4" t="s">
        <v>502</v>
      </c>
    </row>
    <row r="6" spans="2:11" x14ac:dyDescent="0.2">
      <c r="B6" t="s">
        <v>503</v>
      </c>
      <c r="C6" t="s">
        <v>504</v>
      </c>
      <c r="E6" t="s">
        <v>505</v>
      </c>
      <c r="G6" s="76" t="s">
        <v>515</v>
      </c>
      <c r="H6" s="76"/>
      <c r="I6" s="76"/>
    </row>
    <row r="7" spans="2:11" x14ac:dyDescent="0.2">
      <c r="G7" t="s">
        <v>512</v>
      </c>
      <c r="H7" t="s">
        <v>513</v>
      </c>
      <c r="I7" t="s">
        <v>514</v>
      </c>
    </row>
    <row r="8" spans="2:11" x14ac:dyDescent="0.2">
      <c r="E8" t="s">
        <v>506</v>
      </c>
      <c r="G8">
        <v>101</v>
      </c>
    </row>
    <row r="9" spans="2:11" x14ac:dyDescent="0.2">
      <c r="E9" t="s">
        <v>507</v>
      </c>
    </row>
    <row r="10" spans="2:11" x14ac:dyDescent="0.2">
      <c r="E10" t="s">
        <v>508</v>
      </c>
      <c r="G10">
        <v>15</v>
      </c>
    </row>
    <row r="11" spans="2:11" x14ac:dyDescent="0.2">
      <c r="E11" t="s">
        <v>509</v>
      </c>
    </row>
    <row r="12" spans="2:11" x14ac:dyDescent="0.2">
      <c r="E12" t="s">
        <v>510</v>
      </c>
    </row>
    <row r="14" spans="2:11" x14ac:dyDescent="0.2">
      <c r="B14" t="s">
        <v>511</v>
      </c>
      <c r="D14" t="s">
        <v>516</v>
      </c>
      <c r="G14" t="s">
        <v>516</v>
      </c>
      <c r="J14" t="s">
        <v>519</v>
      </c>
    </row>
    <row r="15" spans="2:11" x14ac:dyDescent="0.2">
      <c r="D15" t="s">
        <v>71</v>
      </c>
      <c r="E15" t="s">
        <v>517</v>
      </c>
      <c r="G15" t="s">
        <v>444</v>
      </c>
      <c r="H15" t="s">
        <v>520</v>
      </c>
      <c r="J15" t="s">
        <v>71</v>
      </c>
      <c r="K15" t="s">
        <v>72</v>
      </c>
    </row>
    <row r="16" spans="2:11" x14ac:dyDescent="0.2">
      <c r="D16">
        <v>1</v>
      </c>
      <c r="E16" t="s">
        <v>518</v>
      </c>
    </row>
    <row r="21" spans="2:11" x14ac:dyDescent="0.2">
      <c r="B21" t="s">
        <v>521</v>
      </c>
    </row>
    <row r="22" spans="2:11" x14ac:dyDescent="0.2">
      <c r="C22" t="s">
        <v>522</v>
      </c>
      <c r="E22" t="s">
        <v>523</v>
      </c>
    </row>
    <row r="23" spans="2:11" x14ac:dyDescent="0.2">
      <c r="C23" t="s">
        <v>524</v>
      </c>
      <c r="E23" t="s">
        <v>526</v>
      </c>
      <c r="G23" s="76" t="s">
        <v>525</v>
      </c>
      <c r="H23" s="76"/>
      <c r="I23" s="76"/>
      <c r="J23" s="76"/>
    </row>
    <row r="24" spans="2:11" x14ac:dyDescent="0.2">
      <c r="C24" t="s">
        <v>545</v>
      </c>
      <c r="E24" t="s">
        <v>546</v>
      </c>
    </row>
    <row r="25" spans="2:11" x14ac:dyDescent="0.2">
      <c r="G25" t="s">
        <v>527</v>
      </c>
      <c r="H25" t="s">
        <v>528</v>
      </c>
      <c r="I25" t="s">
        <v>530</v>
      </c>
      <c r="J25" t="s">
        <v>531</v>
      </c>
      <c r="K25" t="s">
        <v>532</v>
      </c>
    </row>
    <row r="26" spans="2:11" x14ac:dyDescent="0.2">
      <c r="G26" s="76" t="s">
        <v>529</v>
      </c>
      <c r="H26" s="76"/>
    </row>
    <row r="30" spans="2:11" x14ac:dyDescent="0.2">
      <c r="D30" t="s">
        <v>533</v>
      </c>
      <c r="F30" s="6" t="s">
        <v>534</v>
      </c>
      <c r="G30" s="6" t="s">
        <v>535</v>
      </c>
    </row>
    <row r="32" spans="2:11" x14ac:dyDescent="0.2">
      <c r="F32" t="s">
        <v>536</v>
      </c>
      <c r="G32" t="s">
        <v>537</v>
      </c>
      <c r="I32" t="s">
        <v>538</v>
      </c>
      <c r="J32" t="s">
        <v>539</v>
      </c>
    </row>
    <row r="34" spans="6:9" x14ac:dyDescent="0.2">
      <c r="F34" t="s">
        <v>540</v>
      </c>
      <c r="G34" t="s">
        <v>543</v>
      </c>
      <c r="I34" t="s">
        <v>542</v>
      </c>
    </row>
    <row r="35" spans="6:9" x14ac:dyDescent="0.2">
      <c r="F35" t="s">
        <v>541</v>
      </c>
    </row>
    <row r="37" spans="6:9" x14ac:dyDescent="0.2">
      <c r="F37" t="s">
        <v>544</v>
      </c>
    </row>
    <row r="55" spans="3:7" x14ac:dyDescent="0.2">
      <c r="C55" t="s">
        <v>304</v>
      </c>
      <c r="G55" t="str">
        <f>C55</f>
        <v>Siraj</v>
      </c>
    </row>
    <row r="57" spans="3:7" x14ac:dyDescent="0.2">
      <c r="C57" t="s">
        <v>547</v>
      </c>
      <c r="E57" t="s">
        <v>548</v>
      </c>
      <c r="G57" t="str" cm="1">
        <f t="array" aca="1" ref="G57" ca="1">INDIRECT(E57)</f>
        <v>Ali</v>
      </c>
    </row>
    <row r="64" spans="3:7" x14ac:dyDescent="0.2">
      <c r="C64" t="s">
        <v>500</v>
      </c>
    </row>
    <row r="66" spans="2:8" x14ac:dyDescent="0.2">
      <c r="B66" t="s">
        <v>549</v>
      </c>
    </row>
    <row r="68" spans="2:8" x14ac:dyDescent="0.2">
      <c r="F68" t="s">
        <v>124</v>
      </c>
    </row>
    <row r="70" spans="2:8" x14ac:dyDescent="0.2">
      <c r="C70" t="s">
        <v>550</v>
      </c>
      <c r="D70" t="s">
        <v>552</v>
      </c>
      <c r="F70" t="s">
        <v>125</v>
      </c>
      <c r="H70" t="s">
        <v>278</v>
      </c>
    </row>
    <row r="71" spans="2:8" x14ac:dyDescent="0.2">
      <c r="C71" t="s">
        <v>551</v>
      </c>
      <c r="D71" t="s">
        <v>553</v>
      </c>
      <c r="F71" t="s">
        <v>557</v>
      </c>
    </row>
    <row r="72" spans="2:8" x14ac:dyDescent="0.2">
      <c r="C72" t="s">
        <v>554</v>
      </c>
      <c r="D72" t="s">
        <v>555</v>
      </c>
      <c r="F72" t="s">
        <v>126</v>
      </c>
    </row>
    <row r="73" spans="2:8" x14ac:dyDescent="0.2">
      <c r="C73" t="s">
        <v>556</v>
      </c>
      <c r="F73" t="s">
        <v>128</v>
      </c>
    </row>
    <row r="77" spans="2:8" x14ac:dyDescent="0.2">
      <c r="F77">
        <v>1</v>
      </c>
    </row>
    <row r="78" spans="2:8" x14ac:dyDescent="0.2">
      <c r="F78">
        <v>1</v>
      </c>
      <c r="H78" t="s">
        <v>125</v>
      </c>
    </row>
    <row r="79" spans="2:8" x14ac:dyDescent="0.2">
      <c r="H79" t="s">
        <v>557</v>
      </c>
    </row>
    <row r="81" spans="6:8" x14ac:dyDescent="0.2">
      <c r="F81">
        <v>1</v>
      </c>
    </row>
    <row r="82" spans="6:8" x14ac:dyDescent="0.2">
      <c r="F82">
        <v>2</v>
      </c>
      <c r="H82" t="s">
        <v>125</v>
      </c>
    </row>
    <row r="83" spans="6:8" x14ac:dyDescent="0.2">
      <c r="H83" t="s">
        <v>126</v>
      </c>
    </row>
  </sheetData>
  <mergeCells count="3">
    <mergeCell ref="G6:I6"/>
    <mergeCell ref="G23:J23"/>
    <mergeCell ref="G26:H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BBCD-D1FB-5141-AB7D-17BC6A7D5829}">
  <dimension ref="B1:M93"/>
  <sheetViews>
    <sheetView topLeftCell="A78" zoomScale="200" zoomScaleNormal="200" workbookViewId="0">
      <selection activeCell="F90" sqref="F90"/>
    </sheetView>
  </sheetViews>
  <sheetFormatPr baseColWidth="10" defaultRowHeight="16" x14ac:dyDescent="0.2"/>
  <cols>
    <col min="1" max="1" width="5.1640625" customWidth="1"/>
    <col min="2" max="2" width="19.6640625" bestFit="1" customWidth="1"/>
    <col min="3" max="3" width="15.1640625" bestFit="1" customWidth="1"/>
    <col min="4" max="4" width="10.6640625" bestFit="1" customWidth="1"/>
    <col min="5" max="5" width="23" bestFit="1" customWidth="1"/>
    <col min="6" max="6" width="15.83203125" bestFit="1" customWidth="1"/>
    <col min="7" max="7" width="15.1640625" bestFit="1" customWidth="1"/>
    <col min="8" max="8" width="11" customWidth="1"/>
    <col min="10" max="10" width="15.83203125" bestFit="1" customWidth="1"/>
    <col min="11" max="11" width="15.1640625" bestFit="1" customWidth="1"/>
    <col min="12" max="12" width="7.1640625" bestFit="1" customWidth="1"/>
  </cols>
  <sheetData>
    <row r="1" spans="2:8" ht="17" thickBot="1" x14ac:dyDescent="0.25"/>
    <row r="2" spans="2:8" ht="17" thickBot="1" x14ac:dyDescent="0.25">
      <c r="B2" s="57" t="s">
        <v>558</v>
      </c>
      <c r="C2" s="58" t="s">
        <v>559</v>
      </c>
      <c r="D2" s="59" t="s">
        <v>66</v>
      </c>
      <c r="F2" s="57" t="s">
        <v>558</v>
      </c>
      <c r="G2" s="58" t="s">
        <v>559</v>
      </c>
      <c r="H2" s="59" t="s">
        <v>66</v>
      </c>
    </row>
    <row r="3" spans="2:8" x14ac:dyDescent="0.2">
      <c r="B3" s="23" t="s">
        <v>560</v>
      </c>
      <c r="C3" s="24" t="s">
        <v>561</v>
      </c>
      <c r="D3" s="25">
        <v>208968</v>
      </c>
      <c r="F3" t="s">
        <v>560</v>
      </c>
      <c r="G3" t="s">
        <v>561</v>
      </c>
      <c r="H3">
        <v>208968</v>
      </c>
    </row>
    <row r="4" spans="2:8" x14ac:dyDescent="0.2">
      <c r="B4" s="26" t="s">
        <v>560</v>
      </c>
      <c r="C4" t="s">
        <v>562</v>
      </c>
      <c r="D4" s="27">
        <v>207776</v>
      </c>
      <c r="F4" t="s">
        <v>567</v>
      </c>
      <c r="G4" t="s">
        <v>568</v>
      </c>
      <c r="H4">
        <v>249274</v>
      </c>
    </row>
    <row r="5" spans="2:8" x14ac:dyDescent="0.2">
      <c r="B5" s="26" t="s">
        <v>560</v>
      </c>
      <c r="C5" t="s">
        <v>563</v>
      </c>
      <c r="D5" s="27">
        <v>197830</v>
      </c>
      <c r="F5" t="s">
        <v>573</v>
      </c>
      <c r="G5" t="s">
        <v>574</v>
      </c>
      <c r="H5">
        <v>197871</v>
      </c>
    </row>
    <row r="6" spans="2:8" x14ac:dyDescent="0.2">
      <c r="B6" s="26" t="s">
        <v>560</v>
      </c>
      <c r="C6" t="s">
        <v>564</v>
      </c>
      <c r="D6" s="27">
        <v>190673</v>
      </c>
    </row>
    <row r="7" spans="2:8" x14ac:dyDescent="0.2">
      <c r="B7" s="26" t="s">
        <v>560</v>
      </c>
      <c r="C7" t="s">
        <v>565</v>
      </c>
      <c r="D7" s="27">
        <v>171340</v>
      </c>
    </row>
    <row r="8" spans="2:8" ht="17" thickBot="1" x14ac:dyDescent="0.25">
      <c r="B8" s="28" t="s">
        <v>560</v>
      </c>
      <c r="C8" s="9" t="s">
        <v>566</v>
      </c>
      <c r="D8" s="29">
        <v>170254</v>
      </c>
    </row>
    <row r="9" spans="2:8" x14ac:dyDescent="0.2">
      <c r="B9" s="23" t="s">
        <v>567</v>
      </c>
      <c r="C9" s="24" t="s">
        <v>568</v>
      </c>
      <c r="D9" s="25">
        <v>249274</v>
      </c>
    </row>
    <row r="10" spans="2:8" x14ac:dyDescent="0.2">
      <c r="B10" s="26" t="s">
        <v>567</v>
      </c>
      <c r="C10" t="s">
        <v>569</v>
      </c>
      <c r="D10" s="27">
        <v>247453</v>
      </c>
    </row>
    <row r="11" spans="2:8" x14ac:dyDescent="0.2">
      <c r="B11" s="26" t="s">
        <v>567</v>
      </c>
      <c r="C11" t="s">
        <v>570</v>
      </c>
      <c r="D11" s="27">
        <v>238367</v>
      </c>
    </row>
    <row r="12" spans="2:8" x14ac:dyDescent="0.2">
      <c r="B12" s="26" t="s">
        <v>567</v>
      </c>
      <c r="C12" t="s">
        <v>571</v>
      </c>
      <c r="D12" s="27">
        <v>216817</v>
      </c>
    </row>
    <row r="13" spans="2:8" ht="17" thickBot="1" x14ac:dyDescent="0.25">
      <c r="B13" s="28" t="s">
        <v>567</v>
      </c>
      <c r="C13" s="9" t="s">
        <v>572</v>
      </c>
      <c r="D13" s="29">
        <v>206773</v>
      </c>
    </row>
    <row r="14" spans="2:8" x14ac:dyDescent="0.2">
      <c r="B14" s="23" t="s">
        <v>573</v>
      </c>
      <c r="C14" s="24" t="s">
        <v>574</v>
      </c>
      <c r="D14" s="25">
        <v>197871</v>
      </c>
    </row>
    <row r="15" spans="2:8" x14ac:dyDescent="0.2">
      <c r="B15" s="26" t="s">
        <v>573</v>
      </c>
      <c r="C15" t="s">
        <v>575</v>
      </c>
      <c r="D15" s="27">
        <v>185471</v>
      </c>
    </row>
    <row r="16" spans="2:8" x14ac:dyDescent="0.2">
      <c r="B16" s="26" t="s">
        <v>573</v>
      </c>
      <c r="C16" t="s">
        <v>576</v>
      </c>
      <c r="D16" s="27">
        <v>184082</v>
      </c>
    </row>
    <row r="17" spans="2:13" x14ac:dyDescent="0.2">
      <c r="B17" s="26" t="s">
        <v>573</v>
      </c>
      <c r="C17" t="s">
        <v>577</v>
      </c>
      <c r="D17" s="27">
        <v>179189</v>
      </c>
    </row>
    <row r="18" spans="2:13" x14ac:dyDescent="0.2">
      <c r="B18" s="26" t="s">
        <v>573</v>
      </c>
      <c r="C18" t="s">
        <v>578</v>
      </c>
      <c r="D18" s="27">
        <v>174990</v>
      </c>
    </row>
    <row r="19" spans="2:13" x14ac:dyDescent="0.2">
      <c r="B19" s="26" t="s">
        <v>573</v>
      </c>
      <c r="C19" t="s">
        <v>579</v>
      </c>
      <c r="D19" s="27">
        <v>170500</v>
      </c>
    </row>
    <row r="20" spans="2:13" ht="17" thickBot="1" x14ac:dyDescent="0.25">
      <c r="B20" s="28" t="s">
        <v>573</v>
      </c>
      <c r="C20" s="9" t="s">
        <v>580</v>
      </c>
      <c r="D20" s="29">
        <v>167351</v>
      </c>
    </row>
    <row r="21" spans="2:13" ht="17" thickBot="1" x14ac:dyDescent="0.25"/>
    <row r="22" spans="2:13" ht="17" thickBot="1" x14ac:dyDescent="0.25">
      <c r="E22" s="57" t="s">
        <v>558</v>
      </c>
      <c r="F22" s="58" t="s">
        <v>559</v>
      </c>
      <c r="G22" s="59" t="s">
        <v>66</v>
      </c>
      <c r="H22" s="6" t="s">
        <v>582</v>
      </c>
      <c r="J22" s="57" t="s">
        <v>558</v>
      </c>
      <c r="K22" s="58" t="s">
        <v>559</v>
      </c>
      <c r="L22" s="59" t="s">
        <v>66</v>
      </c>
      <c r="M22" s="6" t="s">
        <v>582</v>
      </c>
    </row>
    <row r="23" spans="2:13" x14ac:dyDescent="0.2">
      <c r="E23" s="23" t="s">
        <v>560</v>
      </c>
      <c r="F23" s="24" t="s">
        <v>561</v>
      </c>
      <c r="G23" s="25">
        <v>208968</v>
      </c>
      <c r="H23">
        <v>1</v>
      </c>
      <c r="J23" s="23" t="s">
        <v>560</v>
      </c>
      <c r="K23" s="24" t="s">
        <v>561</v>
      </c>
      <c r="L23" s="25">
        <v>208968</v>
      </c>
      <c r="M23">
        <v>1</v>
      </c>
    </row>
    <row r="24" spans="2:13" x14ac:dyDescent="0.2">
      <c r="E24" s="26" t="s">
        <v>560</v>
      </c>
      <c r="F24" t="s">
        <v>562</v>
      </c>
      <c r="G24" s="27">
        <v>207776</v>
      </c>
      <c r="H24">
        <v>2</v>
      </c>
      <c r="J24" s="26" t="s">
        <v>560</v>
      </c>
      <c r="K24" t="s">
        <v>562</v>
      </c>
      <c r="L24" s="27">
        <v>207776</v>
      </c>
      <c r="M24">
        <v>2</v>
      </c>
    </row>
    <row r="25" spans="2:13" ht="17" thickBot="1" x14ac:dyDescent="0.25">
      <c r="E25" s="26" t="s">
        <v>560</v>
      </c>
      <c r="F25" t="s">
        <v>563</v>
      </c>
      <c r="G25" s="27">
        <v>197830</v>
      </c>
      <c r="H25">
        <v>3</v>
      </c>
      <c r="J25" s="26" t="s">
        <v>560</v>
      </c>
      <c r="K25" t="s">
        <v>563</v>
      </c>
      <c r="L25" s="27">
        <v>197830</v>
      </c>
      <c r="M25">
        <v>3</v>
      </c>
    </row>
    <row r="26" spans="2:13" x14ac:dyDescent="0.2">
      <c r="E26" s="26" t="s">
        <v>560</v>
      </c>
      <c r="F26" t="s">
        <v>564</v>
      </c>
      <c r="G26" s="27">
        <v>190673</v>
      </c>
      <c r="H26">
        <v>4</v>
      </c>
      <c r="J26" s="23" t="s">
        <v>567</v>
      </c>
      <c r="K26" s="24" t="s">
        <v>568</v>
      </c>
      <c r="L26" s="25">
        <v>249274</v>
      </c>
      <c r="M26">
        <v>1</v>
      </c>
    </row>
    <row r="27" spans="2:13" x14ac:dyDescent="0.2">
      <c r="E27" s="26" t="s">
        <v>560</v>
      </c>
      <c r="F27" t="s">
        <v>565</v>
      </c>
      <c r="G27" s="27">
        <v>171340</v>
      </c>
      <c r="H27">
        <v>5</v>
      </c>
      <c r="J27" s="26" t="s">
        <v>567</v>
      </c>
      <c r="K27" t="s">
        <v>569</v>
      </c>
      <c r="L27" s="27">
        <v>247453</v>
      </c>
      <c r="M27">
        <v>2</v>
      </c>
    </row>
    <row r="28" spans="2:13" ht="17" thickBot="1" x14ac:dyDescent="0.25">
      <c r="E28" s="28" t="s">
        <v>560</v>
      </c>
      <c r="F28" s="9" t="s">
        <v>566</v>
      </c>
      <c r="G28" s="29">
        <v>170254</v>
      </c>
      <c r="H28">
        <v>6</v>
      </c>
      <c r="J28" s="26" t="s">
        <v>567</v>
      </c>
      <c r="K28" t="s">
        <v>570</v>
      </c>
      <c r="L28" s="27">
        <v>238367</v>
      </c>
      <c r="M28">
        <v>3</v>
      </c>
    </row>
    <row r="29" spans="2:13" x14ac:dyDescent="0.2">
      <c r="E29" s="23" t="s">
        <v>567</v>
      </c>
      <c r="F29" s="24" t="s">
        <v>568</v>
      </c>
      <c r="G29" s="25">
        <v>249274</v>
      </c>
      <c r="H29">
        <v>1</v>
      </c>
      <c r="J29" s="23" t="s">
        <v>573</v>
      </c>
      <c r="K29" s="24" t="s">
        <v>574</v>
      </c>
      <c r="L29" s="25">
        <v>197871</v>
      </c>
      <c r="M29">
        <v>1</v>
      </c>
    </row>
    <row r="30" spans="2:13" x14ac:dyDescent="0.2">
      <c r="E30" s="26" t="s">
        <v>567</v>
      </c>
      <c r="F30" t="s">
        <v>569</v>
      </c>
      <c r="G30" s="27">
        <v>247453</v>
      </c>
      <c r="H30">
        <v>2</v>
      </c>
      <c r="J30" s="26" t="s">
        <v>573</v>
      </c>
      <c r="K30" t="s">
        <v>575</v>
      </c>
      <c r="L30" s="27">
        <v>185471</v>
      </c>
      <c r="M30">
        <v>2</v>
      </c>
    </row>
    <row r="31" spans="2:13" x14ac:dyDescent="0.2">
      <c r="E31" s="26" t="s">
        <v>567</v>
      </c>
      <c r="F31" t="s">
        <v>570</v>
      </c>
      <c r="G31" s="27">
        <v>238367</v>
      </c>
      <c r="H31">
        <v>3</v>
      </c>
      <c r="J31" s="26" t="s">
        <v>573</v>
      </c>
      <c r="K31" t="s">
        <v>576</v>
      </c>
      <c r="L31" s="27">
        <v>184082</v>
      </c>
      <c r="M31">
        <v>3</v>
      </c>
    </row>
    <row r="32" spans="2:13" x14ac:dyDescent="0.2">
      <c r="E32" s="26" t="s">
        <v>567</v>
      </c>
      <c r="F32" t="s">
        <v>571</v>
      </c>
      <c r="G32" s="27">
        <v>216817</v>
      </c>
      <c r="H32">
        <v>4</v>
      </c>
    </row>
    <row r="33" spans="2:8" ht="17" thickBot="1" x14ac:dyDescent="0.25">
      <c r="E33" s="28" t="s">
        <v>567</v>
      </c>
      <c r="F33" s="9" t="s">
        <v>572</v>
      </c>
      <c r="G33" s="29">
        <v>206773</v>
      </c>
      <c r="H33">
        <v>5</v>
      </c>
    </row>
    <row r="34" spans="2:8" x14ac:dyDescent="0.2">
      <c r="E34" s="23" t="s">
        <v>573</v>
      </c>
      <c r="F34" s="24" t="s">
        <v>574</v>
      </c>
      <c r="G34" s="25">
        <v>197871</v>
      </c>
      <c r="H34">
        <v>1</v>
      </c>
    </row>
    <row r="35" spans="2:8" x14ac:dyDescent="0.2">
      <c r="E35" s="26" t="s">
        <v>573</v>
      </c>
      <c r="F35" t="s">
        <v>575</v>
      </c>
      <c r="G35" s="27">
        <v>185471</v>
      </c>
      <c r="H35">
        <v>2</v>
      </c>
    </row>
    <row r="36" spans="2:8" x14ac:dyDescent="0.2">
      <c r="E36" s="26" t="s">
        <v>573</v>
      </c>
      <c r="F36" t="s">
        <v>576</v>
      </c>
      <c r="G36" s="27">
        <v>184082</v>
      </c>
      <c r="H36">
        <v>3</v>
      </c>
    </row>
    <row r="37" spans="2:8" x14ac:dyDescent="0.2">
      <c r="E37" s="26" t="s">
        <v>573</v>
      </c>
      <c r="F37" t="s">
        <v>577</v>
      </c>
      <c r="G37" s="27">
        <v>179189</v>
      </c>
      <c r="H37">
        <v>4</v>
      </c>
    </row>
    <row r="38" spans="2:8" x14ac:dyDescent="0.2">
      <c r="E38" s="26" t="s">
        <v>573</v>
      </c>
      <c r="F38" t="s">
        <v>578</v>
      </c>
      <c r="G38" s="27">
        <v>174990</v>
      </c>
      <c r="H38">
        <v>5</v>
      </c>
    </row>
    <row r="39" spans="2:8" x14ac:dyDescent="0.2">
      <c r="E39" s="26" t="s">
        <v>573</v>
      </c>
      <c r="F39" t="s">
        <v>579</v>
      </c>
      <c r="G39" s="27">
        <v>170500</v>
      </c>
      <c r="H39">
        <v>6</v>
      </c>
    </row>
    <row r="40" spans="2:8" ht="17" thickBot="1" x14ac:dyDescent="0.25">
      <c r="E40" s="28" t="s">
        <v>573</v>
      </c>
      <c r="F40" s="9" t="s">
        <v>580</v>
      </c>
      <c r="G40" s="29">
        <v>167351</v>
      </c>
      <c r="H40">
        <v>7</v>
      </c>
    </row>
    <row r="44" spans="2:8" x14ac:dyDescent="0.2">
      <c r="B44" t="s">
        <v>584</v>
      </c>
      <c r="C44" t="s">
        <v>583</v>
      </c>
    </row>
    <row r="45" spans="2:8" x14ac:dyDescent="0.2">
      <c r="D45" t="s">
        <v>585</v>
      </c>
      <c r="E45" t="s">
        <v>586</v>
      </c>
    </row>
    <row r="46" spans="2:8" x14ac:dyDescent="0.2">
      <c r="D46" t="s">
        <v>263</v>
      </c>
      <c r="E46" t="s">
        <v>587</v>
      </c>
    </row>
    <row r="48" spans="2:8" x14ac:dyDescent="0.2">
      <c r="D48" t="s">
        <v>588</v>
      </c>
    </row>
    <row r="50" spans="4:8" ht="17" thickBot="1" x14ac:dyDescent="0.25"/>
    <row r="51" spans="4:8" ht="17" thickBot="1" x14ac:dyDescent="0.25">
      <c r="D51" s="57" t="s">
        <v>558</v>
      </c>
      <c r="E51" s="58" t="s">
        <v>559</v>
      </c>
      <c r="F51" s="59" t="s">
        <v>66</v>
      </c>
      <c r="G51" s="6" t="s">
        <v>589</v>
      </c>
      <c r="H51" s="6" t="s">
        <v>582</v>
      </c>
    </row>
    <row r="52" spans="4:8" x14ac:dyDescent="0.2">
      <c r="D52" s="23" t="s">
        <v>560</v>
      </c>
      <c r="E52" s="24" t="s">
        <v>561</v>
      </c>
      <c r="F52" s="25">
        <v>208968</v>
      </c>
      <c r="G52">
        <v>1</v>
      </c>
      <c r="H52">
        <v>1</v>
      </c>
    </row>
    <row r="53" spans="4:8" x14ac:dyDescent="0.2">
      <c r="D53" s="26" t="s">
        <v>560</v>
      </c>
      <c r="E53" t="s">
        <v>562</v>
      </c>
      <c r="F53" s="27">
        <v>207776</v>
      </c>
      <c r="G53">
        <v>2</v>
      </c>
      <c r="H53">
        <v>2</v>
      </c>
    </row>
    <row r="54" spans="4:8" x14ac:dyDescent="0.2">
      <c r="D54" s="26" t="s">
        <v>560</v>
      </c>
      <c r="E54" t="s">
        <v>563</v>
      </c>
      <c r="F54" s="27">
        <v>197830</v>
      </c>
      <c r="G54">
        <v>3</v>
      </c>
      <c r="H54">
        <v>3</v>
      </c>
    </row>
    <row r="55" spans="4:8" x14ac:dyDescent="0.2">
      <c r="D55" s="26" t="s">
        <v>560</v>
      </c>
      <c r="E55" t="s">
        <v>564</v>
      </c>
      <c r="F55" s="27">
        <v>190673</v>
      </c>
      <c r="G55">
        <v>4</v>
      </c>
      <c r="H55">
        <v>4</v>
      </c>
    </row>
    <row r="56" spans="4:8" x14ac:dyDescent="0.2">
      <c r="D56" s="26" t="s">
        <v>560</v>
      </c>
      <c r="E56" t="s">
        <v>565</v>
      </c>
      <c r="F56" s="27">
        <v>171340</v>
      </c>
      <c r="G56">
        <v>5</v>
      </c>
      <c r="H56">
        <v>5</v>
      </c>
    </row>
    <row r="57" spans="4:8" ht="17" thickBot="1" x14ac:dyDescent="0.25">
      <c r="D57" s="28" t="s">
        <v>560</v>
      </c>
      <c r="E57" s="9" t="s">
        <v>566</v>
      </c>
      <c r="F57" s="29">
        <v>170254</v>
      </c>
      <c r="G57">
        <v>6</v>
      </c>
      <c r="H57">
        <v>6</v>
      </c>
    </row>
    <row r="58" spans="4:8" x14ac:dyDescent="0.2">
      <c r="D58" s="23" t="s">
        <v>567</v>
      </c>
      <c r="E58" s="24" t="s">
        <v>568</v>
      </c>
      <c r="F58" s="25">
        <v>249274</v>
      </c>
      <c r="G58">
        <v>7</v>
      </c>
      <c r="H58">
        <v>1</v>
      </c>
    </row>
    <row r="59" spans="4:8" x14ac:dyDescent="0.2">
      <c r="D59" s="26" t="s">
        <v>567</v>
      </c>
      <c r="E59" t="s">
        <v>569</v>
      </c>
      <c r="F59" s="27">
        <v>247453</v>
      </c>
      <c r="G59">
        <v>8</v>
      </c>
      <c r="H59">
        <v>2</v>
      </c>
    </row>
    <row r="60" spans="4:8" x14ac:dyDescent="0.2">
      <c r="D60" s="26" t="s">
        <v>567</v>
      </c>
      <c r="E60" t="s">
        <v>570</v>
      </c>
      <c r="F60" s="27">
        <v>238367</v>
      </c>
      <c r="G60">
        <v>9</v>
      </c>
      <c r="H60">
        <v>3</v>
      </c>
    </row>
    <row r="61" spans="4:8" x14ac:dyDescent="0.2">
      <c r="D61" s="26" t="s">
        <v>567</v>
      </c>
      <c r="E61" t="s">
        <v>571</v>
      </c>
      <c r="F61" s="27">
        <v>216817</v>
      </c>
      <c r="G61">
        <v>10</v>
      </c>
      <c r="H61">
        <v>4</v>
      </c>
    </row>
    <row r="62" spans="4:8" ht="17" thickBot="1" x14ac:dyDescent="0.25">
      <c r="D62" s="28" t="s">
        <v>567</v>
      </c>
      <c r="E62" s="9" t="s">
        <v>572</v>
      </c>
      <c r="F62" s="29">
        <v>206773</v>
      </c>
      <c r="G62">
        <v>11</v>
      </c>
      <c r="H62">
        <v>5</v>
      </c>
    </row>
    <row r="63" spans="4:8" x14ac:dyDescent="0.2">
      <c r="D63" s="23" t="s">
        <v>573</v>
      </c>
      <c r="E63" s="24" t="s">
        <v>574</v>
      </c>
      <c r="F63" s="25">
        <v>197871</v>
      </c>
      <c r="G63">
        <v>12</v>
      </c>
      <c r="H63">
        <v>1</v>
      </c>
    </row>
    <row r="64" spans="4:8" x14ac:dyDescent="0.2">
      <c r="D64" s="26" t="s">
        <v>573</v>
      </c>
      <c r="E64" t="s">
        <v>575</v>
      </c>
      <c r="F64" s="27">
        <v>185471</v>
      </c>
      <c r="G64">
        <v>13</v>
      </c>
      <c r="H64">
        <v>2</v>
      </c>
    </row>
    <row r="65" spans="4:8" x14ac:dyDescent="0.2">
      <c r="D65" s="26" t="s">
        <v>573</v>
      </c>
      <c r="E65" t="s">
        <v>576</v>
      </c>
      <c r="F65" s="27">
        <v>184082</v>
      </c>
      <c r="G65">
        <v>14</v>
      </c>
      <c r="H65">
        <v>3</v>
      </c>
    </row>
    <row r="66" spans="4:8" x14ac:dyDescent="0.2">
      <c r="D66" s="26" t="s">
        <v>573</v>
      </c>
      <c r="E66" t="s">
        <v>577</v>
      </c>
      <c r="F66" s="27">
        <v>179189</v>
      </c>
      <c r="G66">
        <v>15</v>
      </c>
      <c r="H66">
        <v>4</v>
      </c>
    </row>
    <row r="67" spans="4:8" x14ac:dyDescent="0.2">
      <c r="D67" s="26" t="s">
        <v>573</v>
      </c>
      <c r="E67" t="s">
        <v>578</v>
      </c>
      <c r="F67" s="27">
        <v>174990</v>
      </c>
      <c r="G67">
        <v>16</v>
      </c>
      <c r="H67">
        <v>5</v>
      </c>
    </row>
    <row r="68" spans="4:8" x14ac:dyDescent="0.2">
      <c r="D68" s="26" t="s">
        <v>573</v>
      </c>
      <c r="E68" t="s">
        <v>579</v>
      </c>
      <c r="F68" s="27">
        <v>170500</v>
      </c>
      <c r="G68">
        <v>17</v>
      </c>
      <c r="H68">
        <v>6</v>
      </c>
    </row>
    <row r="69" spans="4:8" ht="17" thickBot="1" x14ac:dyDescent="0.25">
      <c r="D69" s="28" t="s">
        <v>573</v>
      </c>
      <c r="E69" s="9" t="s">
        <v>580</v>
      </c>
      <c r="F69" s="29">
        <v>167351</v>
      </c>
      <c r="G69">
        <v>18</v>
      </c>
      <c r="H69">
        <v>7</v>
      </c>
    </row>
    <row r="72" spans="4:8" x14ac:dyDescent="0.2">
      <c r="E72" t="s">
        <v>582</v>
      </c>
      <c r="F72" t="s">
        <v>581</v>
      </c>
      <c r="G72" t="s">
        <v>590</v>
      </c>
    </row>
    <row r="73" spans="4:8" x14ac:dyDescent="0.2">
      <c r="D73">
        <v>5</v>
      </c>
      <c r="E73">
        <v>1</v>
      </c>
      <c r="F73">
        <v>1</v>
      </c>
      <c r="G73">
        <v>1</v>
      </c>
    </row>
    <row r="74" spans="4:8" x14ac:dyDescent="0.2">
      <c r="D74">
        <v>6</v>
      </c>
      <c r="E74">
        <v>2</v>
      </c>
      <c r="F74">
        <v>2</v>
      </c>
      <c r="G74">
        <v>2</v>
      </c>
    </row>
    <row r="75" spans="4:8" x14ac:dyDescent="0.2">
      <c r="D75">
        <v>6</v>
      </c>
      <c r="E75">
        <v>3</v>
      </c>
      <c r="F75">
        <v>2</v>
      </c>
      <c r="G75">
        <v>2</v>
      </c>
    </row>
    <row r="76" spans="4:8" x14ac:dyDescent="0.2">
      <c r="D76">
        <v>7</v>
      </c>
      <c r="E76">
        <v>4</v>
      </c>
      <c r="F76">
        <v>4</v>
      </c>
      <c r="G76">
        <v>3</v>
      </c>
    </row>
    <row r="77" spans="4:8" x14ac:dyDescent="0.2">
      <c r="D77">
        <v>8</v>
      </c>
      <c r="E77">
        <v>5</v>
      </c>
      <c r="F77">
        <v>5</v>
      </c>
      <c r="G77">
        <v>4</v>
      </c>
    </row>
    <row r="78" spans="4:8" x14ac:dyDescent="0.2">
      <c r="D78">
        <v>8</v>
      </c>
      <c r="E78">
        <v>6</v>
      </c>
      <c r="F78">
        <v>5</v>
      </c>
      <c r="G78">
        <v>4</v>
      </c>
    </row>
    <row r="79" spans="4:8" x14ac:dyDescent="0.2">
      <c r="D79">
        <v>8</v>
      </c>
      <c r="E79">
        <v>7</v>
      </c>
      <c r="F79">
        <v>5</v>
      </c>
      <c r="G79">
        <v>4</v>
      </c>
    </row>
    <row r="80" spans="4:8" x14ac:dyDescent="0.2">
      <c r="D80">
        <v>9</v>
      </c>
      <c r="E80">
        <v>8</v>
      </c>
      <c r="F80">
        <v>8</v>
      </c>
      <c r="G80">
        <v>5</v>
      </c>
    </row>
    <row r="81" spans="3:9" x14ac:dyDescent="0.2">
      <c r="D81">
        <v>10</v>
      </c>
      <c r="E81">
        <v>9</v>
      </c>
      <c r="F81">
        <v>9</v>
      </c>
      <c r="G81">
        <v>6</v>
      </c>
    </row>
    <row r="84" spans="3:9" x14ac:dyDescent="0.2">
      <c r="C84">
        <v>1</v>
      </c>
      <c r="D84">
        <v>1</v>
      </c>
      <c r="E84" s="76">
        <v>20</v>
      </c>
      <c r="F84">
        <v>1</v>
      </c>
      <c r="G84">
        <v>3</v>
      </c>
      <c r="H84">
        <v>5</v>
      </c>
      <c r="I84">
        <v>7</v>
      </c>
    </row>
    <row r="85" spans="3:9" x14ac:dyDescent="0.2">
      <c r="C85">
        <v>1</v>
      </c>
      <c r="D85">
        <v>2</v>
      </c>
      <c r="E85" s="76"/>
      <c r="F85">
        <v>2</v>
      </c>
      <c r="G85">
        <v>4</v>
      </c>
      <c r="H85">
        <v>6</v>
      </c>
      <c r="I85">
        <v>8</v>
      </c>
    </row>
    <row r="86" spans="3:9" x14ac:dyDescent="0.2">
      <c r="C86">
        <v>2</v>
      </c>
      <c r="D86">
        <v>3</v>
      </c>
      <c r="E86" s="76">
        <v>20</v>
      </c>
      <c r="F86">
        <v>9</v>
      </c>
      <c r="G86">
        <v>10</v>
      </c>
      <c r="H86">
        <v>11</v>
      </c>
    </row>
    <row r="87" spans="3:9" x14ac:dyDescent="0.2">
      <c r="C87">
        <v>2</v>
      </c>
      <c r="D87">
        <v>4</v>
      </c>
      <c r="E87" s="76"/>
    </row>
    <row r="88" spans="3:9" x14ac:dyDescent="0.2">
      <c r="C88">
        <v>3</v>
      </c>
      <c r="D88">
        <v>5</v>
      </c>
      <c r="E88" s="76">
        <v>20</v>
      </c>
    </row>
    <row r="89" spans="3:9" x14ac:dyDescent="0.2">
      <c r="C89">
        <v>3</v>
      </c>
      <c r="D89">
        <v>6</v>
      </c>
      <c r="E89" s="76"/>
    </row>
    <row r="90" spans="3:9" x14ac:dyDescent="0.2">
      <c r="C90">
        <v>4</v>
      </c>
      <c r="D90">
        <v>7</v>
      </c>
      <c r="E90" s="76">
        <v>20</v>
      </c>
    </row>
    <row r="91" spans="3:9" x14ac:dyDescent="0.2">
      <c r="C91">
        <v>4</v>
      </c>
      <c r="D91">
        <v>8</v>
      </c>
      <c r="E91" s="76"/>
    </row>
    <row r="92" spans="3:9" x14ac:dyDescent="0.2">
      <c r="C92">
        <v>5</v>
      </c>
      <c r="D92">
        <v>9</v>
      </c>
      <c r="E92" s="76">
        <v>20</v>
      </c>
    </row>
    <row r="93" spans="3:9" x14ac:dyDescent="0.2">
      <c r="C93">
        <v>5</v>
      </c>
      <c r="D93">
        <v>10</v>
      </c>
      <c r="E93" s="76"/>
    </row>
  </sheetData>
  <mergeCells count="5">
    <mergeCell ref="E84:E85"/>
    <mergeCell ref="E86:E87"/>
    <mergeCell ref="E88:E89"/>
    <mergeCell ref="E90:E91"/>
    <mergeCell ref="E92:E9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B100-C398-CA48-B78A-0A67F7CAFF38}">
  <dimension ref="B1:N973"/>
  <sheetViews>
    <sheetView zoomScale="190" zoomScaleNormal="190" workbookViewId="0">
      <selection activeCell="B2" sqref="B2:D26"/>
    </sheetView>
  </sheetViews>
  <sheetFormatPr baseColWidth="10" defaultRowHeight="16" x14ac:dyDescent="0.2"/>
  <cols>
    <col min="4" max="4" width="23.1640625" bestFit="1" customWidth="1"/>
    <col min="5" max="11" width="21.6640625" customWidth="1"/>
    <col min="12" max="12" width="23.6640625" customWidth="1"/>
    <col min="14" max="14" width="21.5" bestFit="1" customWidth="1"/>
  </cols>
  <sheetData>
    <row r="1" spans="2:14" x14ac:dyDescent="0.2">
      <c r="M1" t="s">
        <v>595</v>
      </c>
      <c r="N1" t="s">
        <v>595</v>
      </c>
    </row>
    <row r="2" spans="2:14" ht="17" thickBot="1" x14ac:dyDescent="0.25">
      <c r="B2" t="s">
        <v>591</v>
      </c>
      <c r="C2" t="s">
        <v>593</v>
      </c>
      <c r="D2" t="s">
        <v>592</v>
      </c>
      <c r="J2" t="s">
        <v>600</v>
      </c>
      <c r="M2" t="s">
        <v>594</v>
      </c>
      <c r="N2" t="s">
        <v>596</v>
      </c>
    </row>
    <row r="3" spans="2:14" ht="17" thickBot="1" x14ac:dyDescent="0.25">
      <c r="B3" s="6">
        <v>2001</v>
      </c>
      <c r="C3" s="6">
        <v>1</v>
      </c>
      <c r="D3" s="57">
        <v>1325</v>
      </c>
      <c r="E3" s="32"/>
      <c r="F3" s="61"/>
      <c r="G3" s="6"/>
      <c r="H3" s="6"/>
      <c r="I3" s="6"/>
      <c r="J3" s="6">
        <f>SUM(D3)</f>
        <v>1325</v>
      </c>
      <c r="K3" s="6"/>
      <c r="L3" s="6"/>
      <c r="M3" s="6">
        <f>SUM($D$3:$D$14)</f>
        <v>35825</v>
      </c>
      <c r="N3">
        <f>SUM($D$3:D3)</f>
        <v>1325</v>
      </c>
    </row>
    <row r="4" spans="2:14" ht="17" thickBot="1" x14ac:dyDescent="0.25">
      <c r="B4" s="6">
        <v>2001</v>
      </c>
      <c r="C4" s="6">
        <v>2</v>
      </c>
      <c r="D4" s="6">
        <v>4357</v>
      </c>
      <c r="E4" s="37"/>
      <c r="F4" s="35"/>
      <c r="G4" s="35"/>
      <c r="H4" s="61"/>
      <c r="I4" s="6"/>
      <c r="J4" s="6">
        <f>SUM(D3:D4)</f>
        <v>5682</v>
      </c>
      <c r="K4" s="6"/>
      <c r="L4" s="6"/>
      <c r="M4" s="6">
        <f t="shared" ref="M4:M14" si="0">SUM($D$3:$D$14)</f>
        <v>35825</v>
      </c>
      <c r="N4">
        <f>SUM($D$3:D4)</f>
        <v>5682</v>
      </c>
    </row>
    <row r="5" spans="2:14" ht="17" thickBot="1" x14ac:dyDescent="0.25">
      <c r="B5" s="6">
        <v>2001</v>
      </c>
      <c r="C5" s="6">
        <v>3</v>
      </c>
      <c r="D5" s="6">
        <v>1633</v>
      </c>
      <c r="E5" s="6"/>
      <c r="F5" s="37"/>
      <c r="G5" s="35"/>
      <c r="H5" s="63"/>
      <c r="I5" s="6"/>
      <c r="J5" s="6">
        <f>SUM(D3:D5)</f>
        <v>7315</v>
      </c>
      <c r="K5" s="6"/>
      <c r="L5" s="6"/>
      <c r="M5" s="6">
        <f t="shared" si="0"/>
        <v>35825</v>
      </c>
      <c r="N5">
        <f>SUM($D$3:D5)</f>
        <v>7315</v>
      </c>
    </row>
    <row r="6" spans="2:14" ht="17" thickBot="1" x14ac:dyDescent="0.25">
      <c r="B6" s="6">
        <v>2001</v>
      </c>
      <c r="C6" s="6">
        <v>4</v>
      </c>
      <c r="D6" s="6">
        <v>4055</v>
      </c>
      <c r="E6" s="6"/>
      <c r="F6" s="6"/>
      <c r="G6" s="6"/>
      <c r="H6" s="37"/>
      <c r="I6" s="61"/>
      <c r="J6" s="6">
        <f>SUM(D4:D6)</f>
        <v>10045</v>
      </c>
      <c r="K6" s="6"/>
      <c r="L6" s="6"/>
      <c r="M6" s="6">
        <f t="shared" si="0"/>
        <v>35825</v>
      </c>
      <c r="N6">
        <f>SUM($D$3:D6)</f>
        <v>11370</v>
      </c>
    </row>
    <row r="7" spans="2:14" x14ac:dyDescent="0.2">
      <c r="B7" s="6">
        <v>2001</v>
      </c>
      <c r="C7" s="6">
        <v>5</v>
      </c>
      <c r="D7" s="6">
        <v>3244</v>
      </c>
      <c r="E7" s="6"/>
      <c r="F7" s="6"/>
      <c r="G7" s="6"/>
      <c r="H7" s="6"/>
      <c r="I7" s="63"/>
      <c r="J7" s="6">
        <f>SUM(D5:D7)</f>
        <v>8932</v>
      </c>
      <c r="K7" s="6"/>
      <c r="L7" s="6"/>
      <c r="M7" s="6">
        <f t="shared" si="0"/>
        <v>35825</v>
      </c>
      <c r="N7">
        <f>SUM($D$3:D7)</f>
        <v>14614</v>
      </c>
    </row>
    <row r="8" spans="2:14" ht="17" thickBot="1" x14ac:dyDescent="0.25">
      <c r="B8" s="6">
        <v>2001</v>
      </c>
      <c r="C8" s="6">
        <v>6</v>
      </c>
      <c r="D8" s="6">
        <v>3533</v>
      </c>
      <c r="E8" s="6"/>
      <c r="F8" s="6"/>
      <c r="G8" s="6"/>
      <c r="H8" s="6"/>
      <c r="I8" s="62"/>
      <c r="J8" s="6">
        <f>SUM(D6:D8)</f>
        <v>10832</v>
      </c>
      <c r="K8" s="6"/>
      <c r="L8" s="6"/>
      <c r="M8" s="6">
        <f t="shared" si="0"/>
        <v>35825</v>
      </c>
      <c r="N8">
        <f>SUM($D$3:D8)</f>
        <v>18147</v>
      </c>
    </row>
    <row r="9" spans="2:14" x14ac:dyDescent="0.2">
      <c r="B9" s="6">
        <v>2001</v>
      </c>
      <c r="C9" s="6">
        <v>7</v>
      </c>
      <c r="D9" s="6">
        <v>4471</v>
      </c>
      <c r="E9" s="6"/>
      <c r="F9" s="6"/>
      <c r="G9" s="6"/>
      <c r="H9" s="6"/>
      <c r="I9" s="6"/>
      <c r="J9" s="6"/>
      <c r="K9" s="6"/>
      <c r="L9" s="6"/>
      <c r="M9" s="6">
        <f t="shared" si="0"/>
        <v>35825</v>
      </c>
      <c r="N9">
        <f>SUM($D$3:D9)</f>
        <v>22618</v>
      </c>
    </row>
    <row r="10" spans="2:14" x14ac:dyDescent="0.2">
      <c r="B10" s="6">
        <v>2001</v>
      </c>
      <c r="C10" s="6">
        <v>8</v>
      </c>
      <c r="D10" s="6">
        <v>1513</v>
      </c>
      <c r="E10" s="6"/>
      <c r="F10" s="6"/>
      <c r="G10" s="6"/>
      <c r="H10" s="6"/>
      <c r="I10" s="6"/>
      <c r="J10" s="6"/>
      <c r="K10" s="6"/>
      <c r="L10" s="6"/>
      <c r="M10" s="6">
        <f t="shared" si="0"/>
        <v>35825</v>
      </c>
      <c r="N10">
        <f>SUM($D$3:D10)</f>
        <v>24131</v>
      </c>
    </row>
    <row r="11" spans="2:14" x14ac:dyDescent="0.2">
      <c r="B11" s="6">
        <v>2001</v>
      </c>
      <c r="C11" s="6">
        <v>9</v>
      </c>
      <c r="D11" s="6">
        <v>1914</v>
      </c>
      <c r="E11" s="6"/>
      <c r="F11" s="6"/>
      <c r="G11" s="6"/>
      <c r="H11" s="6"/>
      <c r="I11" s="6"/>
      <c r="J11" s="6"/>
      <c r="K11" s="6"/>
      <c r="L11" s="6"/>
      <c r="M11" s="6">
        <f t="shared" si="0"/>
        <v>35825</v>
      </c>
      <c r="N11">
        <f>SUM($D$3:D11)</f>
        <v>26045</v>
      </c>
    </row>
    <row r="12" spans="2:14" x14ac:dyDescent="0.2">
      <c r="B12" s="6">
        <v>2001</v>
      </c>
      <c r="C12" s="6">
        <v>10</v>
      </c>
      <c r="D12" s="6">
        <v>4986</v>
      </c>
      <c r="E12" s="6"/>
      <c r="F12" s="6"/>
      <c r="G12" s="6"/>
      <c r="H12" s="6"/>
      <c r="I12" s="6"/>
      <c r="J12" s="6"/>
      <c r="K12" s="6"/>
      <c r="L12" s="6"/>
      <c r="M12" s="6">
        <f t="shared" si="0"/>
        <v>35825</v>
      </c>
      <c r="N12">
        <f>SUM($D$3:D12)</f>
        <v>31031</v>
      </c>
    </row>
    <row r="13" spans="2:14" x14ac:dyDescent="0.2">
      <c r="B13" s="6">
        <v>2001</v>
      </c>
      <c r="C13" s="6">
        <v>11</v>
      </c>
      <c r="D13" s="6">
        <v>1541</v>
      </c>
      <c r="E13" s="6"/>
      <c r="F13" s="6"/>
      <c r="G13" s="6"/>
      <c r="H13" s="6"/>
      <c r="I13" s="6"/>
      <c r="J13" s="6"/>
      <c r="K13" s="6"/>
      <c r="L13" s="6"/>
      <c r="M13" s="6">
        <f t="shared" si="0"/>
        <v>35825</v>
      </c>
      <c r="N13">
        <f>SUM($D$3:D13)</f>
        <v>32572</v>
      </c>
    </row>
    <row r="14" spans="2:14" x14ac:dyDescent="0.2">
      <c r="B14" s="6">
        <v>2001</v>
      </c>
      <c r="C14" s="6">
        <v>12</v>
      </c>
      <c r="D14" s="6">
        <v>3253</v>
      </c>
      <c r="E14" s="6"/>
      <c r="F14" s="6"/>
      <c r="G14" s="6"/>
      <c r="H14" s="6"/>
      <c r="I14" s="6"/>
      <c r="J14" s="6"/>
      <c r="K14" s="6"/>
      <c r="L14" s="6"/>
      <c r="M14" s="6">
        <f t="shared" si="0"/>
        <v>35825</v>
      </c>
      <c r="N14">
        <f>SUM($D$3:D14)</f>
        <v>35825</v>
      </c>
    </row>
    <row r="15" spans="2:14" x14ac:dyDescent="0.2">
      <c r="B15" s="60">
        <v>2002</v>
      </c>
      <c r="C15" s="60">
        <v>1</v>
      </c>
      <c r="D15" s="60">
        <v>2971</v>
      </c>
      <c r="E15" s="60"/>
      <c r="F15" s="60"/>
      <c r="G15" s="60"/>
      <c r="H15" s="60"/>
      <c r="I15" s="60"/>
      <c r="J15" s="60"/>
      <c r="K15" s="60"/>
      <c r="L15" s="60"/>
      <c r="M15" s="60">
        <f>SUM($D$15:$D$26)</f>
        <v>42153</v>
      </c>
      <c r="N15">
        <f>SUM($D$15:D15)</f>
        <v>2971</v>
      </c>
    </row>
    <row r="16" spans="2:14" x14ac:dyDescent="0.2">
      <c r="B16" s="60">
        <v>2002</v>
      </c>
      <c r="C16" s="60">
        <v>2</v>
      </c>
      <c r="D16" s="60">
        <v>1513</v>
      </c>
      <c r="E16" s="60"/>
      <c r="F16" s="60"/>
      <c r="G16" s="60"/>
      <c r="H16" s="60"/>
      <c r="I16" s="60"/>
      <c r="J16" s="60"/>
      <c r="K16" s="60"/>
      <c r="L16" s="60"/>
      <c r="M16" s="60">
        <f t="shared" ref="M16:M26" si="1">SUM($D$15:$D$26)</f>
        <v>42153</v>
      </c>
      <c r="N16">
        <f>SUM($D$15:D16)</f>
        <v>4484</v>
      </c>
    </row>
    <row r="17" spans="2:14" x14ac:dyDescent="0.2">
      <c r="B17" s="60">
        <v>2002</v>
      </c>
      <c r="C17" s="60">
        <v>3</v>
      </c>
      <c r="D17" s="60">
        <v>1914</v>
      </c>
      <c r="E17" s="60"/>
      <c r="F17" s="60"/>
      <c r="G17" s="60"/>
      <c r="H17" s="60"/>
      <c r="I17" s="60"/>
      <c r="J17" s="60"/>
      <c r="K17" s="60"/>
      <c r="L17" s="60"/>
      <c r="M17" s="60">
        <f t="shared" si="1"/>
        <v>42153</v>
      </c>
      <c r="N17">
        <f>SUM($D$15:D17)</f>
        <v>6398</v>
      </c>
    </row>
    <row r="18" spans="2:14" x14ac:dyDescent="0.2">
      <c r="B18" s="60">
        <v>2002</v>
      </c>
      <c r="C18" s="60">
        <v>4</v>
      </c>
      <c r="D18" s="60">
        <v>4986</v>
      </c>
      <c r="E18" s="60"/>
      <c r="F18" s="60"/>
      <c r="G18" s="60"/>
      <c r="H18" s="60"/>
      <c r="I18" s="60"/>
      <c r="J18" s="60"/>
      <c r="K18" s="60"/>
      <c r="L18" s="60"/>
      <c r="M18" s="60">
        <f t="shared" si="1"/>
        <v>42153</v>
      </c>
      <c r="N18">
        <f>SUM($D$15:D18)</f>
        <v>11384</v>
      </c>
    </row>
    <row r="19" spans="2:14" x14ac:dyDescent="0.2">
      <c r="B19" s="60">
        <v>2002</v>
      </c>
      <c r="C19" s="60">
        <v>5</v>
      </c>
      <c r="D19" s="60">
        <v>1541</v>
      </c>
      <c r="E19" s="60"/>
      <c r="F19" s="60"/>
      <c r="G19" s="60"/>
      <c r="H19" s="60"/>
      <c r="I19" s="60"/>
      <c r="J19" s="60"/>
      <c r="K19" s="60"/>
      <c r="L19" s="60"/>
      <c r="M19" s="60">
        <f t="shared" si="1"/>
        <v>42153</v>
      </c>
      <c r="N19">
        <f>SUM($D$15:D19)</f>
        <v>12925</v>
      </c>
    </row>
    <row r="20" spans="2:14" x14ac:dyDescent="0.2">
      <c r="B20" s="60">
        <v>2002</v>
      </c>
      <c r="C20" s="60">
        <v>6</v>
      </c>
      <c r="D20" s="60">
        <v>3253</v>
      </c>
      <c r="E20" s="60"/>
      <c r="F20" s="60"/>
      <c r="G20" s="60"/>
      <c r="H20" s="60"/>
      <c r="I20" s="60"/>
      <c r="J20" s="60"/>
      <c r="K20" s="60"/>
      <c r="L20" s="60"/>
      <c r="M20" s="60">
        <f t="shared" si="1"/>
        <v>42153</v>
      </c>
      <c r="N20">
        <f>SUM($D$15:D20)</f>
        <v>16178</v>
      </c>
    </row>
    <row r="21" spans="2:14" x14ac:dyDescent="0.2">
      <c r="B21" s="60">
        <v>2002</v>
      </c>
      <c r="C21" s="60">
        <v>7</v>
      </c>
      <c r="D21" s="60">
        <v>2971</v>
      </c>
      <c r="E21" s="60"/>
      <c r="F21" s="60"/>
      <c r="G21" s="60"/>
      <c r="H21" s="60"/>
      <c r="I21" s="60"/>
      <c r="J21" s="60"/>
      <c r="K21" s="60"/>
      <c r="L21" s="60"/>
      <c r="M21" s="60">
        <f t="shared" si="1"/>
        <v>42153</v>
      </c>
      <c r="N21">
        <f>SUM($D$15:D21)</f>
        <v>19149</v>
      </c>
    </row>
    <row r="22" spans="2:14" x14ac:dyDescent="0.2">
      <c r="B22" s="60">
        <v>2002</v>
      </c>
      <c r="C22" s="60">
        <v>8</v>
      </c>
      <c r="D22" s="60">
        <v>3244</v>
      </c>
      <c r="E22" s="60"/>
      <c r="F22" s="60"/>
      <c r="G22" s="60"/>
      <c r="H22" s="60"/>
      <c r="I22" s="60"/>
      <c r="J22" s="60"/>
      <c r="K22" s="60"/>
      <c r="L22" s="60"/>
      <c r="M22" s="60">
        <f t="shared" si="1"/>
        <v>42153</v>
      </c>
      <c r="N22">
        <f>SUM($D$15:D22)</f>
        <v>22393</v>
      </c>
    </row>
    <row r="23" spans="2:14" x14ac:dyDescent="0.2">
      <c r="B23" s="60">
        <v>2002</v>
      </c>
      <c r="C23" s="60">
        <v>9</v>
      </c>
      <c r="D23" s="60">
        <v>3533</v>
      </c>
      <c r="E23" s="60"/>
      <c r="F23" s="60"/>
      <c r="G23" s="60"/>
      <c r="H23" s="60"/>
      <c r="I23" s="60"/>
      <c r="J23" s="60"/>
      <c r="K23" s="60"/>
      <c r="L23" s="60"/>
      <c r="M23" s="60">
        <f t="shared" si="1"/>
        <v>42153</v>
      </c>
      <c r="N23">
        <f>SUM($D$15:D23)</f>
        <v>25926</v>
      </c>
    </row>
    <row r="24" spans="2:14" x14ac:dyDescent="0.2">
      <c r="B24" s="60">
        <v>2002</v>
      </c>
      <c r="C24" s="60">
        <v>10</v>
      </c>
      <c r="D24" s="60">
        <v>4471</v>
      </c>
      <c r="E24" s="60"/>
      <c r="F24" s="60"/>
      <c r="G24" s="60"/>
      <c r="H24" s="60"/>
      <c r="I24" s="60"/>
      <c r="J24" s="60"/>
      <c r="K24" s="60"/>
      <c r="L24" s="60"/>
      <c r="M24" s="60">
        <f t="shared" si="1"/>
        <v>42153</v>
      </c>
      <c r="N24">
        <f>SUM($D$15:D24)</f>
        <v>30397</v>
      </c>
    </row>
    <row r="25" spans="2:14" x14ac:dyDescent="0.2">
      <c r="B25" s="60">
        <v>2002</v>
      </c>
      <c r="C25" s="60">
        <v>11</v>
      </c>
      <c r="D25" s="60">
        <v>5409</v>
      </c>
      <c r="E25" s="60"/>
      <c r="F25" s="60"/>
      <c r="G25" s="60"/>
      <c r="H25" s="60"/>
      <c r="I25" s="60"/>
      <c r="J25" s="60"/>
      <c r="K25" s="60"/>
      <c r="L25" s="60"/>
      <c r="M25" s="60">
        <f t="shared" si="1"/>
        <v>42153</v>
      </c>
      <c r="N25">
        <f>SUM($D$15:D25)</f>
        <v>35806</v>
      </c>
    </row>
    <row r="26" spans="2:14" x14ac:dyDescent="0.2">
      <c r="B26" s="60">
        <v>2002</v>
      </c>
      <c r="C26" s="60">
        <v>12</v>
      </c>
      <c r="D26" s="60">
        <v>6347</v>
      </c>
      <c r="E26" s="60"/>
      <c r="F26" s="60"/>
      <c r="G26" s="60"/>
      <c r="H26" s="60"/>
      <c r="I26" s="60"/>
      <c r="J26" s="60"/>
      <c r="K26" s="60"/>
      <c r="L26" s="60"/>
      <c r="M26" s="60">
        <f t="shared" si="1"/>
        <v>42153</v>
      </c>
      <c r="N26">
        <f>SUM($D$15:D26)</f>
        <v>42153</v>
      </c>
    </row>
    <row r="36" spans="2:14" x14ac:dyDescent="0.2">
      <c r="B36" t="s">
        <v>203</v>
      </c>
      <c r="C36" t="s">
        <v>597</v>
      </c>
      <c r="D36" t="s">
        <v>598</v>
      </c>
      <c r="L36" t="s">
        <v>599</v>
      </c>
    </row>
    <row r="37" spans="2:14" x14ac:dyDescent="0.2">
      <c r="B37" s="22">
        <v>45292</v>
      </c>
      <c r="C37">
        <v>489335924.02999997</v>
      </c>
      <c r="D37">
        <v>12324306058.690001</v>
      </c>
      <c r="L37">
        <v>489335924.02999997</v>
      </c>
      <c r="N37">
        <f>SUM($C$37:C37)</f>
        <v>489335924.02999997</v>
      </c>
    </row>
    <row r="38" spans="2:14" x14ac:dyDescent="0.2">
      <c r="B38" s="22">
        <v>45323</v>
      </c>
      <c r="C38">
        <v>433334701.33999997</v>
      </c>
      <c r="D38">
        <v>12324306058.690001</v>
      </c>
      <c r="L38">
        <v>922670625.37</v>
      </c>
      <c r="N38">
        <f>SUM($C$37:C38)</f>
        <v>922670625.36999989</v>
      </c>
    </row>
    <row r="39" spans="2:14" x14ac:dyDescent="0.2">
      <c r="B39" s="22">
        <v>45352</v>
      </c>
      <c r="C39">
        <v>503279356.63</v>
      </c>
      <c r="D39">
        <v>12324306058.690001</v>
      </c>
      <c r="L39">
        <v>1425949982</v>
      </c>
      <c r="N39">
        <f>SUM($C$37:C39)</f>
        <v>1425949982</v>
      </c>
    </row>
    <row r="40" spans="2:14" x14ac:dyDescent="0.2">
      <c r="B40" s="22">
        <v>45383</v>
      </c>
      <c r="C40">
        <v>472225511.41000003</v>
      </c>
      <c r="D40">
        <v>12324306058.690001</v>
      </c>
      <c r="L40">
        <v>1898175493.4100001</v>
      </c>
      <c r="N40">
        <f>SUM($C$37:C40)</f>
        <v>1898175493.4100001</v>
      </c>
    </row>
    <row r="41" spans="2:14" x14ac:dyDescent="0.2">
      <c r="B41" s="22">
        <v>45413</v>
      </c>
      <c r="C41">
        <v>471907036.49000001</v>
      </c>
      <c r="D41">
        <v>12324306058.690001</v>
      </c>
      <c r="L41">
        <v>2370082529.9000001</v>
      </c>
      <c r="N41">
        <f>SUM($C$37:C41)</f>
        <v>2370082529.9000001</v>
      </c>
    </row>
    <row r="42" spans="2:14" x14ac:dyDescent="0.2">
      <c r="B42" s="22">
        <v>45444</v>
      </c>
      <c r="C42">
        <v>463852858.43000001</v>
      </c>
      <c r="D42">
        <v>12324306058.690001</v>
      </c>
      <c r="L42">
        <v>2833935388.3299999</v>
      </c>
      <c r="N42">
        <f>SUM($C$37:C42)</f>
        <v>2833935388.3299999</v>
      </c>
    </row>
    <row r="43" spans="2:14" x14ac:dyDescent="0.2">
      <c r="B43" s="22">
        <v>45474</v>
      </c>
      <c r="C43">
        <v>482989424.10000002</v>
      </c>
      <c r="D43">
        <v>12324306058.690001</v>
      </c>
      <c r="L43">
        <v>3316924812.4299998</v>
      </c>
      <c r="N43">
        <f>SUM($C$37:C43)</f>
        <v>3316924812.4299998</v>
      </c>
    </row>
    <row r="44" spans="2:14" x14ac:dyDescent="0.2">
      <c r="B44" s="22">
        <v>45505</v>
      </c>
      <c r="C44">
        <v>496847617.14999998</v>
      </c>
      <c r="D44">
        <v>12324306058.690001</v>
      </c>
      <c r="L44">
        <v>3813772429.5799999</v>
      </c>
      <c r="N44">
        <f>SUM($C$37:C44)</f>
        <v>3813772429.5799999</v>
      </c>
    </row>
    <row r="45" spans="2:14" x14ac:dyDescent="0.2">
      <c r="B45" s="22">
        <v>45536</v>
      </c>
      <c r="C45">
        <v>458243272.91000003</v>
      </c>
      <c r="D45">
        <v>12324306058.690001</v>
      </c>
      <c r="L45">
        <v>4272015702.4899998</v>
      </c>
      <c r="N45">
        <f>SUM($C$37:C45)</f>
        <v>4272015702.4899998</v>
      </c>
    </row>
    <row r="46" spans="2:14" x14ac:dyDescent="0.2">
      <c r="B46" s="22">
        <v>45566</v>
      </c>
      <c r="C46">
        <v>471556722.12</v>
      </c>
      <c r="D46">
        <v>12324306058.690001</v>
      </c>
      <c r="L46">
        <v>4743572424.6099997</v>
      </c>
      <c r="N46">
        <f>SUM($C$37:C46)</f>
        <v>4743572424.6099997</v>
      </c>
    </row>
    <row r="47" spans="2:14" x14ac:dyDescent="0.2">
      <c r="B47" s="22">
        <v>45597</v>
      </c>
      <c r="C47">
        <v>463829623.20999998</v>
      </c>
      <c r="D47">
        <v>12324306058.690001</v>
      </c>
      <c r="L47">
        <v>5207402047.8199997</v>
      </c>
      <c r="N47">
        <f>SUM($C$37:C47)</f>
        <v>5207402047.8199997</v>
      </c>
    </row>
    <row r="48" spans="2:14" x14ac:dyDescent="0.2">
      <c r="B48" s="22">
        <v>45627</v>
      </c>
      <c r="C48">
        <v>474490736.49000001</v>
      </c>
      <c r="D48">
        <v>12324306058.690001</v>
      </c>
      <c r="L48">
        <v>5681892784.3100004</v>
      </c>
      <c r="N48">
        <f>SUM($C$37:C48)</f>
        <v>5681892784.3099995</v>
      </c>
    </row>
    <row r="49" spans="2:14" x14ac:dyDescent="0.2">
      <c r="B49" s="22">
        <v>45658</v>
      </c>
      <c r="C49">
        <v>485085613.19999999</v>
      </c>
      <c r="D49">
        <v>12324306058.690001</v>
      </c>
      <c r="L49">
        <v>6166978397.5100002</v>
      </c>
      <c r="N49">
        <f>SUM($C$37:C49)</f>
        <v>6166978397.5099993</v>
      </c>
    </row>
    <row r="50" spans="2:14" x14ac:dyDescent="0.2">
      <c r="B50" s="22">
        <v>45689</v>
      </c>
      <c r="C50">
        <v>452183770.63999999</v>
      </c>
      <c r="D50">
        <v>12324306058.690001</v>
      </c>
      <c r="L50">
        <v>6619162168.1499996</v>
      </c>
      <c r="N50">
        <f>SUM($C$37:C50)</f>
        <v>6619162168.1499996</v>
      </c>
    </row>
    <row r="51" spans="2:14" x14ac:dyDescent="0.2">
      <c r="B51" s="22">
        <v>45717</v>
      </c>
      <c r="C51">
        <v>485769826.22000003</v>
      </c>
      <c r="D51">
        <v>12324306058.690001</v>
      </c>
      <c r="L51">
        <v>7104931994.3699999</v>
      </c>
      <c r="N51">
        <f>SUM($C$37:C51)</f>
        <v>7104931994.3699999</v>
      </c>
    </row>
    <row r="52" spans="2:14" x14ac:dyDescent="0.2">
      <c r="B52" s="22">
        <v>45748</v>
      </c>
      <c r="C52">
        <v>481264443.29000002</v>
      </c>
      <c r="D52">
        <v>12324306058.690001</v>
      </c>
      <c r="L52">
        <v>7586196437.6599998</v>
      </c>
      <c r="N52">
        <f>SUM($C$37:C52)</f>
        <v>7586196437.6599998</v>
      </c>
    </row>
    <row r="53" spans="2:14" x14ac:dyDescent="0.2">
      <c r="B53" s="22">
        <v>45778</v>
      </c>
      <c r="C53">
        <v>474427790.25</v>
      </c>
      <c r="D53">
        <v>12324306058.690001</v>
      </c>
      <c r="L53">
        <v>8060624227.9099998</v>
      </c>
      <c r="N53">
        <f>SUM($C$37:C53)</f>
        <v>8060624227.9099998</v>
      </c>
    </row>
    <row r="54" spans="2:14" x14ac:dyDescent="0.2">
      <c r="B54" s="22">
        <v>45809</v>
      </c>
      <c r="C54">
        <v>486200950.01999998</v>
      </c>
      <c r="D54">
        <v>12324306058.690001</v>
      </c>
      <c r="L54">
        <v>8546825177.9300003</v>
      </c>
      <c r="N54">
        <f>SUM($C$37:C54)</f>
        <v>8546825177.9300003</v>
      </c>
    </row>
    <row r="55" spans="2:14" x14ac:dyDescent="0.2">
      <c r="B55" s="22">
        <v>45839</v>
      </c>
      <c r="C55">
        <v>490022349.24000001</v>
      </c>
      <c r="D55">
        <v>12324306058.690001</v>
      </c>
      <c r="L55">
        <v>9036847527.1700001</v>
      </c>
      <c r="N55">
        <f>SUM($C$37:C55)</f>
        <v>9036847527.1700001</v>
      </c>
    </row>
    <row r="56" spans="2:14" x14ac:dyDescent="0.2">
      <c r="B56" s="22">
        <v>45870</v>
      </c>
      <c r="C56">
        <v>488099269</v>
      </c>
      <c r="D56">
        <v>12324306058.690001</v>
      </c>
      <c r="L56">
        <v>9524946796.1700001</v>
      </c>
      <c r="N56">
        <f>SUM($C$37:C56)</f>
        <v>9524946796.1700001</v>
      </c>
    </row>
    <row r="57" spans="2:14" x14ac:dyDescent="0.2">
      <c r="B57" s="22">
        <v>45901</v>
      </c>
      <c r="C57">
        <v>479441894.12</v>
      </c>
      <c r="D57">
        <v>12324306058.690001</v>
      </c>
      <c r="L57">
        <v>10004388690.290001</v>
      </c>
      <c r="N57">
        <f>SUM($C$37:C57)</f>
        <v>10004388690.290001</v>
      </c>
    </row>
    <row r="58" spans="2:14" x14ac:dyDescent="0.2">
      <c r="B58" s="22">
        <v>45931</v>
      </c>
      <c r="C58">
        <v>494324451.30000001</v>
      </c>
      <c r="D58">
        <v>12324306058.690001</v>
      </c>
      <c r="L58">
        <v>10498713141.59</v>
      </c>
      <c r="N58">
        <f>SUM($C$37:C58)</f>
        <v>10498713141.59</v>
      </c>
    </row>
    <row r="59" spans="2:14" x14ac:dyDescent="0.2">
      <c r="B59" s="22">
        <v>45962</v>
      </c>
      <c r="C59">
        <v>469024477.94999999</v>
      </c>
      <c r="D59">
        <v>12324306058.690001</v>
      </c>
      <c r="L59">
        <v>10967737619.540001</v>
      </c>
      <c r="N59">
        <f>SUM($C$37:C59)</f>
        <v>10967737619.540001</v>
      </c>
    </row>
    <row r="60" spans="2:14" x14ac:dyDescent="0.2">
      <c r="B60" s="22">
        <v>45992</v>
      </c>
      <c r="C60">
        <v>491339178.44</v>
      </c>
      <c r="D60">
        <v>12324306058.690001</v>
      </c>
      <c r="L60">
        <v>11459076797.98</v>
      </c>
      <c r="N60">
        <f>SUM($C$37:C60)</f>
        <v>11459076797.980001</v>
      </c>
    </row>
    <row r="61" spans="2:14" x14ac:dyDescent="0.2">
      <c r="B61" s="22">
        <v>46023</v>
      </c>
      <c r="C61">
        <v>467726615.56</v>
      </c>
      <c r="D61">
        <v>12324306058.690001</v>
      </c>
      <c r="L61">
        <v>11926803413.540001</v>
      </c>
      <c r="N61">
        <f>SUM($C$37:C61)</f>
        <v>11926803413.540001</v>
      </c>
    </row>
    <row r="62" spans="2:14" x14ac:dyDescent="0.2">
      <c r="B62" s="22">
        <v>46054</v>
      </c>
      <c r="C62">
        <v>397502645.14999998</v>
      </c>
      <c r="D62">
        <v>12324306058.690001</v>
      </c>
      <c r="L62">
        <v>12324306058.690001</v>
      </c>
      <c r="N62">
        <f>SUM($C$37:C62)</f>
        <v>12324306058.690001</v>
      </c>
    </row>
    <row r="70" spans="4:5" ht="17" thickBot="1" x14ac:dyDescent="0.25"/>
    <row r="71" spans="4:5" x14ac:dyDescent="0.2">
      <c r="D71" s="64" t="s">
        <v>604</v>
      </c>
      <c r="E71" t="s">
        <v>601</v>
      </c>
    </row>
    <row r="72" spans="4:5" x14ac:dyDescent="0.2">
      <c r="D72" s="65"/>
    </row>
    <row r="73" spans="4:5" x14ac:dyDescent="0.2">
      <c r="D73" s="65"/>
    </row>
    <row r="74" spans="4:5" x14ac:dyDescent="0.2">
      <c r="D74" s="65"/>
    </row>
    <row r="75" spans="4:5" x14ac:dyDescent="0.2">
      <c r="D75" s="65"/>
    </row>
    <row r="76" spans="4:5" x14ac:dyDescent="0.2">
      <c r="D76" s="68" t="s">
        <v>605</v>
      </c>
      <c r="E76" t="s">
        <v>602</v>
      </c>
    </row>
    <row r="77" spans="4:5" x14ac:dyDescent="0.2">
      <c r="D77" s="65"/>
    </row>
    <row r="78" spans="4:5" x14ac:dyDescent="0.2">
      <c r="D78" s="65"/>
    </row>
    <row r="79" spans="4:5" x14ac:dyDescent="0.2">
      <c r="D79" s="65"/>
    </row>
    <row r="80" spans="4:5" x14ac:dyDescent="0.2">
      <c r="D80" s="65"/>
    </row>
    <row r="81" spans="3:5" x14ac:dyDescent="0.2">
      <c r="D81" s="65"/>
    </row>
    <row r="82" spans="3:5" x14ac:dyDescent="0.2">
      <c r="D82" s="65"/>
    </row>
    <row r="83" spans="3:5" x14ac:dyDescent="0.2">
      <c r="D83" s="65"/>
    </row>
    <row r="84" spans="3:5" ht="17" thickBot="1" x14ac:dyDescent="0.25">
      <c r="D84" s="66" t="s">
        <v>606</v>
      </c>
      <c r="E84" t="s">
        <v>603</v>
      </c>
    </row>
    <row r="87" spans="3:5" ht="17" thickBot="1" x14ac:dyDescent="0.25"/>
    <row r="88" spans="3:5" x14ac:dyDescent="0.2">
      <c r="C88" s="67"/>
      <c r="D88" s="67"/>
      <c r="E88" s="67"/>
    </row>
    <row r="89" spans="3:5" x14ac:dyDescent="0.2">
      <c r="C89" s="68"/>
      <c r="D89" s="68"/>
      <c r="E89" s="68"/>
    </row>
    <row r="90" spans="3:5" x14ac:dyDescent="0.2">
      <c r="C90" s="68"/>
      <c r="D90" s="68"/>
      <c r="E90" s="68"/>
    </row>
    <row r="91" spans="3:5" x14ac:dyDescent="0.2">
      <c r="C91" s="68"/>
      <c r="D91" s="68"/>
      <c r="E91" s="68"/>
    </row>
    <row r="92" spans="3:5" x14ac:dyDescent="0.2">
      <c r="C92" s="68"/>
      <c r="D92" s="68"/>
      <c r="E92" s="68"/>
    </row>
    <row r="93" spans="3:5" x14ac:dyDescent="0.2">
      <c r="C93" s="68"/>
      <c r="D93" s="68"/>
      <c r="E93" s="68"/>
    </row>
    <row r="94" spans="3:5" x14ac:dyDescent="0.2">
      <c r="C94" s="68"/>
      <c r="D94" s="68"/>
      <c r="E94" s="68"/>
    </row>
    <row r="95" spans="3:5" x14ac:dyDescent="0.2">
      <c r="C95" s="68"/>
      <c r="D95" s="68"/>
      <c r="E95" s="68"/>
    </row>
    <row r="96" spans="3:5" x14ac:dyDescent="0.2">
      <c r="C96" s="68"/>
      <c r="D96" s="68"/>
      <c r="E96" s="68"/>
    </row>
    <row r="97" spans="3:5" ht="17" thickBot="1" x14ac:dyDescent="0.25">
      <c r="C97" s="69"/>
      <c r="D97" s="69"/>
      <c r="E97" s="69"/>
    </row>
    <row r="99" spans="3:5" ht="17" thickBot="1" x14ac:dyDescent="0.25"/>
    <row r="100" spans="3:5" x14ac:dyDescent="0.2">
      <c r="D100" s="67"/>
    </row>
    <row r="101" spans="3:5" x14ac:dyDescent="0.2">
      <c r="D101" s="68"/>
    </row>
    <row r="102" spans="3:5" ht="17" thickBot="1" x14ac:dyDescent="0.25">
      <c r="D102" s="69"/>
    </row>
    <row r="103" spans="3:5" ht="17" thickBot="1" x14ac:dyDescent="0.25">
      <c r="D103" s="60"/>
    </row>
    <row r="104" spans="3:5" x14ac:dyDescent="0.2">
      <c r="D104" s="67"/>
    </row>
    <row r="105" spans="3:5" x14ac:dyDescent="0.2">
      <c r="D105" s="68"/>
    </row>
    <row r="106" spans="3:5" x14ac:dyDescent="0.2">
      <c r="D106" s="68"/>
    </row>
    <row r="107" spans="3:5" ht="17" thickBot="1" x14ac:dyDescent="0.25">
      <c r="D107" s="69"/>
    </row>
    <row r="108" spans="3:5" ht="17" thickBot="1" x14ac:dyDescent="0.25">
      <c r="D108" s="60"/>
    </row>
    <row r="109" spans="3:5" x14ac:dyDescent="0.2">
      <c r="D109" s="67"/>
    </row>
    <row r="110" spans="3:5" x14ac:dyDescent="0.2">
      <c r="D110" s="68"/>
    </row>
    <row r="111" spans="3:5" x14ac:dyDescent="0.2">
      <c r="D111" s="68"/>
    </row>
    <row r="112" spans="3:5" ht="17" thickBot="1" x14ac:dyDescent="0.25">
      <c r="D112" s="69"/>
    </row>
    <row r="113" spans="4:10" x14ac:dyDescent="0.2">
      <c r="D113" s="60"/>
    </row>
    <row r="114" spans="4:10" x14ac:dyDescent="0.2">
      <c r="D114" s="60"/>
    </row>
    <row r="115" spans="4:10" x14ac:dyDescent="0.2">
      <c r="D115" s="60"/>
    </row>
    <row r="118" spans="4:10" ht="17" thickBot="1" x14ac:dyDescent="0.25"/>
    <row r="119" spans="4:10" ht="17" thickBot="1" x14ac:dyDescent="0.25">
      <c r="D119" s="64" t="s">
        <v>604</v>
      </c>
      <c r="E119" t="s">
        <v>601</v>
      </c>
      <c r="F119" s="49"/>
      <c r="G119" s="23"/>
      <c r="H119" s="23"/>
      <c r="I119" s="64"/>
    </row>
    <row r="120" spans="4:10" ht="17" thickBot="1" x14ac:dyDescent="0.25">
      <c r="D120" s="65"/>
      <c r="H120" s="28"/>
      <c r="I120" s="26"/>
      <c r="J120" s="64"/>
    </row>
    <row r="121" spans="4:10" ht="17" thickBot="1" x14ac:dyDescent="0.25">
      <c r="D121" s="65"/>
      <c r="I121" s="28"/>
      <c r="J121" s="65"/>
    </row>
    <row r="122" spans="4:10" ht="17" thickBot="1" x14ac:dyDescent="0.25">
      <c r="D122" s="65"/>
      <c r="J122" s="66"/>
    </row>
    <row r="123" spans="4:10" x14ac:dyDescent="0.2">
      <c r="D123" s="65"/>
    </row>
    <row r="124" spans="4:10" x14ac:dyDescent="0.2">
      <c r="D124" s="68" t="s">
        <v>605</v>
      </c>
      <c r="E124" t="s">
        <v>602</v>
      </c>
      <c r="F124" t="s">
        <v>608</v>
      </c>
    </row>
    <row r="125" spans="4:10" x14ac:dyDescent="0.2">
      <c r="D125" s="65"/>
      <c r="F125" t="s">
        <v>607</v>
      </c>
    </row>
    <row r="126" spans="4:10" x14ac:dyDescent="0.2">
      <c r="D126" s="65"/>
    </row>
    <row r="127" spans="4:10" x14ac:dyDescent="0.2">
      <c r="D127" s="65"/>
    </row>
    <row r="128" spans="4:10" x14ac:dyDescent="0.2">
      <c r="D128" s="65"/>
    </row>
    <row r="129" spans="4:6" x14ac:dyDescent="0.2">
      <c r="D129" s="65"/>
    </row>
    <row r="130" spans="4:6" x14ac:dyDescent="0.2">
      <c r="D130" s="65"/>
    </row>
    <row r="131" spans="4:6" x14ac:dyDescent="0.2">
      <c r="D131" s="65"/>
    </row>
    <row r="132" spans="4:6" ht="17" thickBot="1" x14ac:dyDescent="0.25">
      <c r="D132" s="66" t="s">
        <v>606</v>
      </c>
      <c r="E132" t="s">
        <v>603</v>
      </c>
    </row>
    <row r="134" spans="4:6" ht="17" thickBot="1" x14ac:dyDescent="0.25"/>
    <row r="135" spans="4:6" x14ac:dyDescent="0.2">
      <c r="D135" s="64" t="s">
        <v>604</v>
      </c>
      <c r="E135" t="s">
        <v>601</v>
      </c>
    </row>
    <row r="136" spans="4:6" x14ac:dyDescent="0.2">
      <c r="D136" s="65"/>
    </row>
    <row r="137" spans="4:6" x14ac:dyDescent="0.2">
      <c r="D137" s="65"/>
    </row>
    <row r="138" spans="4:6" x14ac:dyDescent="0.2">
      <c r="D138" s="65"/>
    </row>
    <row r="139" spans="4:6" x14ac:dyDescent="0.2">
      <c r="D139" s="65"/>
      <c r="F139" t="s">
        <v>610</v>
      </c>
    </row>
    <row r="140" spans="4:6" x14ac:dyDescent="0.2">
      <c r="D140" s="68" t="s">
        <v>605</v>
      </c>
      <c r="E140" t="s">
        <v>602</v>
      </c>
      <c r="F140" t="s">
        <v>609</v>
      </c>
    </row>
    <row r="141" spans="4:6" x14ac:dyDescent="0.2">
      <c r="D141" s="65"/>
    </row>
    <row r="142" spans="4:6" x14ac:dyDescent="0.2">
      <c r="D142" s="65"/>
    </row>
    <row r="143" spans="4:6" x14ac:dyDescent="0.2">
      <c r="D143" s="65"/>
    </row>
    <row r="144" spans="4:6" x14ac:dyDescent="0.2">
      <c r="D144" s="65"/>
    </row>
    <row r="145" spans="4:6" x14ac:dyDescent="0.2">
      <c r="D145" s="65"/>
    </row>
    <row r="146" spans="4:6" x14ac:dyDescent="0.2">
      <c r="D146" s="65"/>
    </row>
    <row r="147" spans="4:6" x14ac:dyDescent="0.2">
      <c r="D147" s="65"/>
    </row>
    <row r="148" spans="4:6" ht="17" thickBot="1" x14ac:dyDescent="0.25">
      <c r="D148" s="66" t="s">
        <v>606</v>
      </c>
      <c r="E148" t="s">
        <v>603</v>
      </c>
    </row>
    <row r="151" spans="4:6" ht="17" thickBot="1" x14ac:dyDescent="0.25"/>
    <row r="152" spans="4:6" x14ac:dyDescent="0.2">
      <c r="D152" s="64" t="s">
        <v>604</v>
      </c>
      <c r="E152" t="s">
        <v>601</v>
      </c>
    </row>
    <row r="153" spans="4:6" x14ac:dyDescent="0.2">
      <c r="D153" s="65"/>
    </row>
    <row r="154" spans="4:6" x14ac:dyDescent="0.2">
      <c r="D154" s="65"/>
    </row>
    <row r="155" spans="4:6" x14ac:dyDescent="0.2">
      <c r="D155" s="65"/>
    </row>
    <row r="156" spans="4:6" x14ac:dyDescent="0.2">
      <c r="D156" s="65"/>
    </row>
    <row r="157" spans="4:6" x14ac:dyDescent="0.2">
      <c r="D157" s="68" t="s">
        <v>605</v>
      </c>
      <c r="E157" t="s">
        <v>602</v>
      </c>
      <c r="F157" t="s">
        <v>611</v>
      </c>
    </row>
    <row r="158" spans="4:6" x14ac:dyDescent="0.2">
      <c r="D158" s="65"/>
      <c r="F158" t="s">
        <v>612</v>
      </c>
    </row>
    <row r="159" spans="4:6" x14ac:dyDescent="0.2">
      <c r="D159" s="65"/>
    </row>
    <row r="160" spans="4:6" x14ac:dyDescent="0.2">
      <c r="D160" s="65"/>
    </row>
    <row r="161" spans="4:6" x14ac:dyDescent="0.2">
      <c r="D161" s="65"/>
    </row>
    <row r="162" spans="4:6" x14ac:dyDescent="0.2">
      <c r="D162" s="65"/>
    </row>
    <row r="163" spans="4:6" x14ac:dyDescent="0.2">
      <c r="D163" s="65"/>
    </row>
    <row r="164" spans="4:6" x14ac:dyDescent="0.2">
      <c r="D164" s="65"/>
    </row>
    <row r="165" spans="4:6" ht="17" thickBot="1" x14ac:dyDescent="0.25">
      <c r="D165" s="66" t="s">
        <v>606</v>
      </c>
      <c r="E165" t="s">
        <v>603</v>
      </c>
    </row>
    <row r="168" spans="4:6" ht="17" thickBot="1" x14ac:dyDescent="0.25"/>
    <row r="169" spans="4:6" x14ac:dyDescent="0.2">
      <c r="D169" s="64" t="s">
        <v>604</v>
      </c>
      <c r="E169" t="s">
        <v>601</v>
      </c>
    </row>
    <row r="170" spans="4:6" x14ac:dyDescent="0.2">
      <c r="D170" s="65"/>
    </row>
    <row r="171" spans="4:6" x14ac:dyDescent="0.2">
      <c r="D171" s="65"/>
    </row>
    <row r="172" spans="4:6" x14ac:dyDescent="0.2">
      <c r="D172" s="65"/>
    </row>
    <row r="173" spans="4:6" x14ac:dyDescent="0.2">
      <c r="D173" s="65"/>
    </row>
    <row r="174" spans="4:6" x14ac:dyDescent="0.2">
      <c r="D174" s="68" t="s">
        <v>605</v>
      </c>
      <c r="E174" t="s">
        <v>602</v>
      </c>
      <c r="F174" t="s">
        <v>608</v>
      </c>
    </row>
    <row r="175" spans="4:6" x14ac:dyDescent="0.2">
      <c r="D175" s="65"/>
      <c r="F175" t="s">
        <v>613</v>
      </c>
    </row>
    <row r="176" spans="4:6" x14ac:dyDescent="0.2">
      <c r="D176" s="65"/>
    </row>
    <row r="177" spans="4:9" x14ac:dyDescent="0.2">
      <c r="D177" s="65"/>
    </row>
    <row r="178" spans="4:9" x14ac:dyDescent="0.2">
      <c r="D178" s="65"/>
    </row>
    <row r="179" spans="4:9" x14ac:dyDescent="0.2">
      <c r="D179" s="65"/>
    </row>
    <row r="180" spans="4:9" x14ac:dyDescent="0.2">
      <c r="D180" s="65"/>
    </row>
    <row r="181" spans="4:9" x14ac:dyDescent="0.2">
      <c r="D181" s="65"/>
    </row>
    <row r="182" spans="4:9" ht="17" thickBot="1" x14ac:dyDescent="0.25">
      <c r="D182" s="66" t="s">
        <v>606</v>
      </c>
      <c r="E182" t="s">
        <v>603</v>
      </c>
    </row>
    <row r="185" spans="4:9" x14ac:dyDescent="0.2">
      <c r="D185" t="s">
        <v>226</v>
      </c>
      <c r="E185" t="s">
        <v>614</v>
      </c>
      <c r="F185" t="s">
        <v>615</v>
      </c>
      <c r="H185" t="s">
        <v>616</v>
      </c>
    </row>
    <row r="186" spans="4:9" x14ac:dyDescent="0.2">
      <c r="D186" s="22">
        <v>45292</v>
      </c>
      <c r="E186">
        <v>197</v>
      </c>
      <c r="F186">
        <v>197</v>
      </c>
      <c r="G186" s="70">
        <f>AVERAGE($E$186:E186)</f>
        <v>197</v>
      </c>
      <c r="H186">
        <v>197</v>
      </c>
      <c r="I186">
        <f>AVERAGE(E186)</f>
        <v>197</v>
      </c>
    </row>
    <row r="187" spans="4:9" x14ac:dyDescent="0.2">
      <c r="D187" s="22">
        <v>45293</v>
      </c>
      <c r="E187">
        <v>208</v>
      </c>
      <c r="F187">
        <v>203</v>
      </c>
      <c r="G187" s="70">
        <f>AVERAGE($E$186:E187)</f>
        <v>202.5</v>
      </c>
      <c r="H187">
        <v>203</v>
      </c>
      <c r="I187">
        <f>AVERAGE(E186:E187)</f>
        <v>202.5</v>
      </c>
    </row>
    <row r="188" spans="4:9" x14ac:dyDescent="0.2">
      <c r="D188" s="22">
        <v>45294</v>
      </c>
      <c r="E188">
        <v>194</v>
      </c>
      <c r="F188">
        <v>200</v>
      </c>
      <c r="G188" s="70">
        <f>AVERAGE($E$186:E188)</f>
        <v>199.66666666666666</v>
      </c>
      <c r="H188">
        <v>200</v>
      </c>
    </row>
    <row r="189" spans="4:9" x14ac:dyDescent="0.2">
      <c r="D189" s="22">
        <v>45295</v>
      </c>
      <c r="E189">
        <v>169</v>
      </c>
      <c r="F189">
        <v>192</v>
      </c>
      <c r="G189" s="70">
        <f>AVERAGE($E$186:E189)</f>
        <v>192</v>
      </c>
      <c r="H189">
        <v>192</v>
      </c>
    </row>
    <row r="190" spans="4:9" x14ac:dyDescent="0.2">
      <c r="D190" s="22">
        <v>45296</v>
      </c>
      <c r="E190">
        <v>193</v>
      </c>
      <c r="F190">
        <v>192</v>
      </c>
      <c r="G190" s="70">
        <f>AVERAGE($E$186:E190)</f>
        <v>192.2</v>
      </c>
      <c r="H190">
        <v>192</v>
      </c>
    </row>
    <row r="191" spans="4:9" x14ac:dyDescent="0.2">
      <c r="D191" s="22">
        <v>45297</v>
      </c>
      <c r="E191">
        <v>180</v>
      </c>
      <c r="F191">
        <v>190</v>
      </c>
      <c r="G191" s="70">
        <f>AVERAGE($E$186:E191)</f>
        <v>190.16666666666666</v>
      </c>
      <c r="H191">
        <v>190</v>
      </c>
    </row>
    <row r="192" spans="4:9" x14ac:dyDescent="0.2">
      <c r="D192" s="22">
        <v>45298</v>
      </c>
      <c r="E192">
        <v>158</v>
      </c>
      <c r="F192">
        <v>186</v>
      </c>
      <c r="G192" s="70">
        <f>AVERAGE($E$186:E192)</f>
        <v>185.57142857142858</v>
      </c>
      <c r="H192">
        <v>186</v>
      </c>
    </row>
    <row r="193" spans="4:9" x14ac:dyDescent="0.2">
      <c r="D193" s="22">
        <v>45299</v>
      </c>
      <c r="E193">
        <v>203</v>
      </c>
      <c r="F193">
        <v>188</v>
      </c>
      <c r="G193" s="70">
        <f>AVERAGE($E$186:E193)</f>
        <v>187.75</v>
      </c>
      <c r="H193">
        <v>186</v>
      </c>
      <c r="I193" s="70">
        <f>AVERAGE(E187:E193)</f>
        <v>186.42857142857142</v>
      </c>
    </row>
    <row r="194" spans="4:9" x14ac:dyDescent="0.2">
      <c r="D194" s="22">
        <v>45300</v>
      </c>
      <c r="E194">
        <v>190</v>
      </c>
      <c r="F194">
        <v>188</v>
      </c>
      <c r="G194" s="70">
        <f>AVERAGE($E$186:E194)</f>
        <v>188</v>
      </c>
      <c r="H194">
        <v>184</v>
      </c>
      <c r="I194" s="70">
        <f>AVERAGE(E188:E194)</f>
        <v>183.85714285714286</v>
      </c>
    </row>
    <row r="195" spans="4:9" x14ac:dyDescent="0.2">
      <c r="D195" s="22">
        <v>45301</v>
      </c>
      <c r="E195">
        <v>167</v>
      </c>
      <c r="F195">
        <v>186</v>
      </c>
      <c r="G195" s="70">
        <f>AVERAGE($E$186:E195)</f>
        <v>185.9</v>
      </c>
      <c r="H195">
        <v>180</v>
      </c>
    </row>
    <row r="196" spans="4:9" x14ac:dyDescent="0.2">
      <c r="D196" s="22">
        <v>45302</v>
      </c>
      <c r="E196">
        <v>210</v>
      </c>
      <c r="F196">
        <v>188</v>
      </c>
      <c r="G196" s="70">
        <f>AVERAGE($E$186:E196)</f>
        <v>188.09090909090909</v>
      </c>
      <c r="H196">
        <v>186</v>
      </c>
    </row>
    <row r="197" spans="4:9" x14ac:dyDescent="0.2">
      <c r="D197" s="22">
        <v>45303</v>
      </c>
      <c r="E197">
        <v>196</v>
      </c>
      <c r="F197">
        <v>189</v>
      </c>
      <c r="G197" s="70">
        <f>AVERAGE($E$186:E197)</f>
        <v>188.75</v>
      </c>
      <c r="H197">
        <v>186</v>
      </c>
    </row>
    <row r="198" spans="4:9" x14ac:dyDescent="0.2">
      <c r="D198" s="22">
        <v>45304</v>
      </c>
      <c r="E198">
        <v>194</v>
      </c>
      <c r="F198">
        <v>189</v>
      </c>
      <c r="G198" s="70">
        <f>AVERAGE($E$186:E198)</f>
        <v>189.15384615384616</v>
      </c>
      <c r="H198">
        <v>188</v>
      </c>
    </row>
    <row r="199" spans="4:9" x14ac:dyDescent="0.2">
      <c r="D199" s="22">
        <v>45305</v>
      </c>
      <c r="E199">
        <v>170</v>
      </c>
      <c r="F199">
        <v>188</v>
      </c>
      <c r="G199" s="70">
        <f>AVERAGE($E$186:E199)</f>
        <v>187.78571428571428</v>
      </c>
      <c r="H199">
        <v>190</v>
      </c>
    </row>
    <row r="200" spans="4:9" x14ac:dyDescent="0.2">
      <c r="D200" s="22">
        <v>45306</v>
      </c>
      <c r="E200">
        <v>193</v>
      </c>
      <c r="F200">
        <v>188</v>
      </c>
      <c r="G200" s="70">
        <f>AVERAGE($E$186:E200)</f>
        <v>188.13333333333333</v>
      </c>
      <c r="H200">
        <v>189</v>
      </c>
    </row>
    <row r="201" spans="4:9" x14ac:dyDescent="0.2">
      <c r="D201" s="22">
        <v>45307</v>
      </c>
      <c r="E201">
        <v>226</v>
      </c>
      <c r="F201">
        <v>191</v>
      </c>
      <c r="G201" s="70">
        <f>AVERAGE($E$186:E201)</f>
        <v>190.5</v>
      </c>
      <c r="H201">
        <v>194</v>
      </c>
    </row>
    <row r="202" spans="4:9" x14ac:dyDescent="0.2">
      <c r="D202" s="22">
        <v>45308</v>
      </c>
      <c r="E202">
        <v>183</v>
      </c>
      <c r="F202">
        <v>190</v>
      </c>
      <c r="G202" s="70">
        <f>AVERAGE($E$186:E202)</f>
        <v>190.05882352941177</v>
      </c>
      <c r="H202">
        <v>196</v>
      </c>
    </row>
    <row r="203" spans="4:9" x14ac:dyDescent="0.2">
      <c r="D203" s="22">
        <v>45309</v>
      </c>
      <c r="E203">
        <v>171</v>
      </c>
      <c r="F203">
        <v>189</v>
      </c>
      <c r="G203" s="70">
        <f>AVERAGE($E$186:E203)</f>
        <v>189</v>
      </c>
      <c r="H203">
        <v>190</v>
      </c>
    </row>
    <row r="204" spans="4:9" x14ac:dyDescent="0.2">
      <c r="D204" s="22">
        <v>45310</v>
      </c>
      <c r="E204">
        <v>181</v>
      </c>
      <c r="F204">
        <v>189</v>
      </c>
      <c r="G204" s="70">
        <f>AVERAGE($E$186:E204)</f>
        <v>188.57894736842104</v>
      </c>
      <c r="H204">
        <v>188</v>
      </c>
    </row>
    <row r="205" spans="4:9" x14ac:dyDescent="0.2">
      <c r="D205" s="22">
        <v>45311</v>
      </c>
      <c r="E205">
        <v>183</v>
      </c>
      <c r="F205">
        <v>188</v>
      </c>
      <c r="G205" s="70">
        <f>AVERAGE($E$186:E205)</f>
        <v>188.3</v>
      </c>
      <c r="H205">
        <v>187</v>
      </c>
    </row>
    <row r="206" spans="4:9" x14ac:dyDescent="0.2">
      <c r="D206" s="22">
        <v>45312</v>
      </c>
      <c r="E206">
        <v>196</v>
      </c>
      <c r="F206">
        <v>189</v>
      </c>
      <c r="G206" s="70">
        <f>AVERAGE($E$186:E206)</f>
        <v>188.66666666666666</v>
      </c>
      <c r="H206">
        <v>190</v>
      </c>
    </row>
    <row r="207" spans="4:9" x14ac:dyDescent="0.2">
      <c r="D207" s="22">
        <v>45313</v>
      </c>
      <c r="E207">
        <v>223</v>
      </c>
      <c r="F207">
        <v>190</v>
      </c>
      <c r="G207" s="70">
        <f>AVERAGE($E$186:E207)</f>
        <v>190.22727272727272</v>
      </c>
      <c r="H207">
        <v>195</v>
      </c>
    </row>
    <row r="208" spans="4:9" x14ac:dyDescent="0.2">
      <c r="D208" s="22">
        <v>45314</v>
      </c>
      <c r="E208">
        <v>194</v>
      </c>
      <c r="F208">
        <v>190</v>
      </c>
      <c r="G208" s="70">
        <f>AVERAGE($E$186:E208)</f>
        <v>190.39130434782609</v>
      </c>
      <c r="H208">
        <v>190</v>
      </c>
    </row>
    <row r="209" spans="4:8" x14ac:dyDescent="0.2">
      <c r="D209" s="22">
        <v>45315</v>
      </c>
      <c r="E209">
        <v>180</v>
      </c>
      <c r="F209">
        <v>190</v>
      </c>
      <c r="G209" s="70">
        <f>AVERAGE($E$186:E209)</f>
        <v>189.95833333333334</v>
      </c>
      <c r="H209">
        <v>190</v>
      </c>
    </row>
    <row r="210" spans="4:8" x14ac:dyDescent="0.2">
      <c r="D210" s="22">
        <v>45316</v>
      </c>
      <c r="E210">
        <v>169</v>
      </c>
      <c r="F210">
        <v>189</v>
      </c>
      <c r="G210" s="70">
        <f>AVERAGE($E$186:E210)</f>
        <v>189.12</v>
      </c>
      <c r="H210">
        <v>189</v>
      </c>
    </row>
    <row r="211" spans="4:8" x14ac:dyDescent="0.2">
      <c r="D211" s="22">
        <v>45317</v>
      </c>
      <c r="E211">
        <v>189</v>
      </c>
      <c r="F211">
        <v>189</v>
      </c>
      <c r="G211" s="70">
        <f>AVERAGE($E$186:E211)</f>
        <v>189.11538461538461</v>
      </c>
      <c r="H211">
        <v>191</v>
      </c>
    </row>
    <row r="212" spans="4:8" x14ac:dyDescent="0.2">
      <c r="D212" s="22">
        <v>45318</v>
      </c>
      <c r="E212">
        <v>184</v>
      </c>
      <c r="F212">
        <v>189</v>
      </c>
      <c r="G212" s="70">
        <f>AVERAGE($E$186:E212)</f>
        <v>188.92592592592592</v>
      </c>
      <c r="H212">
        <v>191</v>
      </c>
    </row>
    <row r="213" spans="4:8" x14ac:dyDescent="0.2">
      <c r="D213" s="22">
        <v>45319</v>
      </c>
      <c r="E213">
        <v>194</v>
      </c>
      <c r="F213">
        <v>189</v>
      </c>
      <c r="G213" s="70">
        <f>AVERAGE($E$186:E213)</f>
        <v>189.10714285714286</v>
      </c>
      <c r="H213">
        <v>190</v>
      </c>
    </row>
    <row r="214" spans="4:8" x14ac:dyDescent="0.2">
      <c r="D214" s="22">
        <v>45320</v>
      </c>
      <c r="E214">
        <v>214</v>
      </c>
      <c r="F214">
        <v>190</v>
      </c>
      <c r="G214" s="70">
        <f>AVERAGE($E$186:E214)</f>
        <v>189.9655172413793</v>
      </c>
      <c r="H214">
        <v>189</v>
      </c>
    </row>
    <row r="215" spans="4:8" x14ac:dyDescent="0.2">
      <c r="D215" s="22">
        <v>45321</v>
      </c>
      <c r="E215">
        <v>202</v>
      </c>
      <c r="F215">
        <v>190</v>
      </c>
      <c r="G215" s="70">
        <f>AVERAGE($E$186:E215)</f>
        <v>190.36666666666667</v>
      </c>
      <c r="H215">
        <v>190</v>
      </c>
    </row>
    <row r="216" spans="4:8" x14ac:dyDescent="0.2">
      <c r="D216" s="22">
        <v>45322</v>
      </c>
      <c r="E216">
        <v>197</v>
      </c>
      <c r="F216">
        <v>191</v>
      </c>
      <c r="G216" s="70">
        <f>AVERAGE($E$186:E216)</f>
        <v>190.58064516129033</v>
      </c>
      <c r="H216">
        <v>193</v>
      </c>
    </row>
    <row r="217" spans="4:8" x14ac:dyDescent="0.2">
      <c r="D217" s="22">
        <v>45323</v>
      </c>
      <c r="E217">
        <v>188</v>
      </c>
      <c r="F217">
        <v>191</v>
      </c>
      <c r="G217" s="70">
        <f>AVERAGE($E$186:E217)</f>
        <v>190.5</v>
      </c>
      <c r="H217">
        <v>195</v>
      </c>
    </row>
    <row r="218" spans="4:8" x14ac:dyDescent="0.2">
      <c r="D218" s="22">
        <v>45324</v>
      </c>
      <c r="E218">
        <v>217</v>
      </c>
      <c r="F218">
        <v>191</v>
      </c>
      <c r="G218" s="70">
        <f>AVERAGE($E$186:E218)</f>
        <v>191.30303030303031</v>
      </c>
      <c r="H218">
        <v>199</v>
      </c>
    </row>
    <row r="219" spans="4:8" x14ac:dyDescent="0.2">
      <c r="D219" s="22">
        <v>45325</v>
      </c>
      <c r="E219">
        <v>172</v>
      </c>
      <c r="F219">
        <v>191</v>
      </c>
      <c r="G219" s="70">
        <f>AVERAGE($E$186:E219)</f>
        <v>190.73529411764707</v>
      </c>
      <c r="H219">
        <v>198</v>
      </c>
    </row>
    <row r="220" spans="4:8" x14ac:dyDescent="0.2">
      <c r="D220" s="22">
        <v>45326</v>
      </c>
      <c r="E220">
        <v>177</v>
      </c>
      <c r="F220">
        <v>190</v>
      </c>
      <c r="G220" s="70">
        <f>AVERAGE($E$186:E220)</f>
        <v>190.34285714285716</v>
      </c>
      <c r="H220">
        <v>195</v>
      </c>
    </row>
    <row r="221" spans="4:8" x14ac:dyDescent="0.2">
      <c r="D221" s="22">
        <v>45327</v>
      </c>
      <c r="E221">
        <v>184</v>
      </c>
      <c r="F221">
        <v>190</v>
      </c>
      <c r="G221" s="70">
        <f>AVERAGE($E$186:E221)</f>
        <v>190.16666666666666</v>
      </c>
      <c r="H221">
        <v>191</v>
      </c>
    </row>
    <row r="222" spans="4:8" x14ac:dyDescent="0.2">
      <c r="D222" s="22">
        <v>45328</v>
      </c>
      <c r="E222">
        <v>165</v>
      </c>
      <c r="F222">
        <v>189</v>
      </c>
      <c r="G222" s="70">
        <f>AVERAGE($E$186:E222)</f>
        <v>189.48648648648648</v>
      </c>
      <c r="H222">
        <v>186</v>
      </c>
    </row>
    <row r="223" spans="4:8" x14ac:dyDescent="0.2">
      <c r="D223" s="22">
        <v>45329</v>
      </c>
      <c r="E223">
        <v>184</v>
      </c>
      <c r="F223">
        <v>189</v>
      </c>
      <c r="G223" s="70">
        <f>AVERAGE($E$186:E223)</f>
        <v>189.34210526315789</v>
      </c>
      <c r="H223">
        <v>184</v>
      </c>
    </row>
    <row r="224" spans="4:8" x14ac:dyDescent="0.2">
      <c r="D224" s="22">
        <v>45330</v>
      </c>
      <c r="E224">
        <v>165</v>
      </c>
      <c r="F224">
        <v>189</v>
      </c>
      <c r="G224" s="70">
        <f>AVERAGE($E$186:E224)</f>
        <v>188.71794871794873</v>
      </c>
      <c r="H224">
        <v>181</v>
      </c>
    </row>
    <row r="225" spans="4:8" x14ac:dyDescent="0.2">
      <c r="D225" s="22">
        <v>45331</v>
      </c>
      <c r="E225">
        <v>173</v>
      </c>
      <c r="F225">
        <v>188</v>
      </c>
      <c r="G225" s="70">
        <f>AVERAGE($E$186:E225)</f>
        <v>188.32499999999999</v>
      </c>
      <c r="H225">
        <v>174</v>
      </c>
    </row>
    <row r="226" spans="4:8" x14ac:dyDescent="0.2">
      <c r="D226" s="22">
        <v>45332</v>
      </c>
      <c r="E226">
        <v>176</v>
      </c>
      <c r="F226">
        <v>188</v>
      </c>
      <c r="G226" s="70">
        <f>AVERAGE($E$186:E226)</f>
        <v>188.02439024390245</v>
      </c>
      <c r="H226">
        <v>175</v>
      </c>
    </row>
    <row r="227" spans="4:8" x14ac:dyDescent="0.2">
      <c r="D227" s="22">
        <v>45333</v>
      </c>
      <c r="E227">
        <v>175</v>
      </c>
      <c r="F227">
        <v>188</v>
      </c>
      <c r="G227" s="70">
        <f>AVERAGE($E$186:E227)</f>
        <v>187.71428571428572</v>
      </c>
      <c r="H227">
        <v>175</v>
      </c>
    </row>
    <row r="228" spans="4:8" x14ac:dyDescent="0.2">
      <c r="D228" s="22">
        <v>45334</v>
      </c>
      <c r="E228">
        <v>157</v>
      </c>
      <c r="F228">
        <v>187</v>
      </c>
      <c r="G228" s="70">
        <f>AVERAGE($E$186:E228)</f>
        <v>187</v>
      </c>
      <c r="H228">
        <v>171</v>
      </c>
    </row>
    <row r="229" spans="4:8" x14ac:dyDescent="0.2">
      <c r="D229" s="22">
        <v>45335</v>
      </c>
      <c r="E229">
        <v>181</v>
      </c>
      <c r="F229">
        <v>187</v>
      </c>
      <c r="G229" s="70">
        <f>AVERAGE($E$186:E229)</f>
        <v>186.86363636363637</v>
      </c>
      <c r="H229">
        <v>173</v>
      </c>
    </row>
    <row r="230" spans="4:8" x14ac:dyDescent="0.2">
      <c r="D230" s="22">
        <v>45336</v>
      </c>
      <c r="E230">
        <v>198</v>
      </c>
      <c r="F230">
        <v>187</v>
      </c>
      <c r="G230" s="70">
        <f>AVERAGE($E$186:E230)</f>
        <v>187.11111111111111</v>
      </c>
      <c r="H230">
        <v>175</v>
      </c>
    </row>
    <row r="231" spans="4:8" x14ac:dyDescent="0.2">
      <c r="D231" s="22">
        <v>45337</v>
      </c>
      <c r="E231">
        <v>178</v>
      </c>
      <c r="F231">
        <v>187</v>
      </c>
      <c r="G231" s="70">
        <f>AVERAGE($E$186:E231)</f>
        <v>186.91304347826087</v>
      </c>
      <c r="H231">
        <v>177</v>
      </c>
    </row>
    <row r="232" spans="4:8" x14ac:dyDescent="0.2">
      <c r="D232" s="22">
        <v>45338</v>
      </c>
      <c r="E232">
        <v>193</v>
      </c>
      <c r="F232">
        <v>187</v>
      </c>
      <c r="G232" s="70">
        <f>AVERAGE($E$186:E232)</f>
        <v>187.04255319148936</v>
      </c>
      <c r="H232">
        <v>180</v>
      </c>
    </row>
    <row r="233" spans="4:8" x14ac:dyDescent="0.2">
      <c r="D233" s="22">
        <v>45339</v>
      </c>
      <c r="E233">
        <v>173</v>
      </c>
      <c r="F233">
        <v>187</v>
      </c>
      <c r="G233" s="70">
        <f>AVERAGE($E$186:E233)</f>
        <v>186.75</v>
      </c>
      <c r="H233">
        <v>179</v>
      </c>
    </row>
    <row r="234" spans="4:8" x14ac:dyDescent="0.2">
      <c r="D234" s="22">
        <v>45340</v>
      </c>
      <c r="E234">
        <v>215</v>
      </c>
      <c r="F234">
        <v>187</v>
      </c>
      <c r="G234" s="70">
        <f>AVERAGE($E$186:E234)</f>
        <v>187.32653061224491</v>
      </c>
      <c r="H234">
        <v>185</v>
      </c>
    </row>
    <row r="235" spans="4:8" x14ac:dyDescent="0.2">
      <c r="D235" s="22">
        <v>45341</v>
      </c>
      <c r="E235">
        <v>210</v>
      </c>
      <c r="F235">
        <v>188</v>
      </c>
      <c r="G235" s="70">
        <f>AVERAGE($E$186:E235)</f>
        <v>187.78</v>
      </c>
      <c r="H235">
        <v>193</v>
      </c>
    </row>
    <row r="236" spans="4:8" x14ac:dyDescent="0.2">
      <c r="D236" s="22">
        <v>45342</v>
      </c>
      <c r="E236">
        <v>205</v>
      </c>
      <c r="F236">
        <v>188</v>
      </c>
      <c r="G236" s="70">
        <f>AVERAGE($E$186:E236)</f>
        <v>188.11764705882354</v>
      </c>
      <c r="H236">
        <v>196</v>
      </c>
    </row>
    <row r="237" spans="4:8" x14ac:dyDescent="0.2">
      <c r="D237" s="22">
        <v>45343</v>
      </c>
      <c r="E237">
        <v>178</v>
      </c>
      <c r="F237">
        <v>188</v>
      </c>
      <c r="G237" s="70">
        <f>AVERAGE($E$186:E237)</f>
        <v>187.92307692307693</v>
      </c>
      <c r="H237">
        <v>193</v>
      </c>
    </row>
    <row r="238" spans="4:8" x14ac:dyDescent="0.2">
      <c r="D238" s="22">
        <v>45344</v>
      </c>
      <c r="E238">
        <v>186</v>
      </c>
      <c r="F238">
        <v>188</v>
      </c>
      <c r="G238" s="70">
        <f>AVERAGE($E$186:E238)</f>
        <v>187.88679245283018</v>
      </c>
      <c r="H238">
        <v>194</v>
      </c>
    </row>
    <row r="239" spans="4:8" x14ac:dyDescent="0.2">
      <c r="D239" s="22">
        <v>45345</v>
      </c>
      <c r="E239">
        <v>187</v>
      </c>
      <c r="F239">
        <v>188</v>
      </c>
      <c r="G239" s="70">
        <f>AVERAGE($E$186:E239)</f>
        <v>187.87037037037038</v>
      </c>
      <c r="H239">
        <v>193</v>
      </c>
    </row>
    <row r="240" spans="4:8" x14ac:dyDescent="0.2">
      <c r="D240" s="22">
        <v>45346</v>
      </c>
      <c r="E240">
        <v>183</v>
      </c>
      <c r="F240">
        <v>188</v>
      </c>
      <c r="G240" s="70">
        <f>AVERAGE($E$186:E240)</f>
        <v>187.78181818181818</v>
      </c>
      <c r="H240">
        <v>195</v>
      </c>
    </row>
    <row r="241" spans="4:8" x14ac:dyDescent="0.2">
      <c r="D241" s="22">
        <v>45347</v>
      </c>
      <c r="E241">
        <v>171</v>
      </c>
      <c r="F241">
        <v>187</v>
      </c>
      <c r="G241" s="70">
        <f>AVERAGE($E$186:E241)</f>
        <v>187.48214285714286</v>
      </c>
      <c r="H241">
        <v>189</v>
      </c>
    </row>
    <row r="242" spans="4:8" x14ac:dyDescent="0.2">
      <c r="D242" s="22">
        <v>45348</v>
      </c>
      <c r="E242">
        <v>179</v>
      </c>
      <c r="F242">
        <v>187</v>
      </c>
      <c r="G242" s="70">
        <f>AVERAGE($E$186:E242)</f>
        <v>187.33333333333334</v>
      </c>
      <c r="H242">
        <v>184</v>
      </c>
    </row>
    <row r="243" spans="4:8" x14ac:dyDescent="0.2">
      <c r="D243" s="22">
        <v>45349</v>
      </c>
      <c r="E243">
        <v>204</v>
      </c>
      <c r="F243">
        <v>188</v>
      </c>
      <c r="G243" s="70">
        <f>AVERAGE($E$186:E243)</f>
        <v>187.62068965517241</v>
      </c>
      <c r="H243">
        <v>184</v>
      </c>
    </row>
    <row r="244" spans="4:8" x14ac:dyDescent="0.2">
      <c r="D244" s="22">
        <v>45350</v>
      </c>
      <c r="E244">
        <v>184</v>
      </c>
      <c r="F244">
        <v>188</v>
      </c>
      <c r="G244" s="70">
        <f>AVERAGE($E$186:E244)</f>
        <v>187.5593220338983</v>
      </c>
      <c r="H244">
        <v>185</v>
      </c>
    </row>
    <row r="245" spans="4:8" x14ac:dyDescent="0.2">
      <c r="D245" s="22">
        <v>45351</v>
      </c>
      <c r="E245">
        <v>175</v>
      </c>
      <c r="F245">
        <v>187</v>
      </c>
      <c r="G245" s="70">
        <f>AVERAGE($E$186:E245)</f>
        <v>187.35</v>
      </c>
      <c r="H245">
        <v>183</v>
      </c>
    </row>
    <row r="246" spans="4:8" x14ac:dyDescent="0.2">
      <c r="D246" s="22">
        <v>45352</v>
      </c>
      <c r="E246">
        <v>197</v>
      </c>
      <c r="F246">
        <v>188</v>
      </c>
      <c r="G246" s="70">
        <f>AVERAGE($E$186:E246)</f>
        <v>187.50819672131146</v>
      </c>
      <c r="H246">
        <v>185</v>
      </c>
    </row>
    <row r="247" spans="4:8" x14ac:dyDescent="0.2">
      <c r="D247" s="22">
        <v>45353</v>
      </c>
      <c r="E247">
        <v>176</v>
      </c>
      <c r="F247">
        <v>187</v>
      </c>
      <c r="G247" s="70">
        <f>AVERAGE($E$186:E247)</f>
        <v>187.32258064516128</v>
      </c>
      <c r="H247">
        <v>184</v>
      </c>
    </row>
    <row r="248" spans="4:8" x14ac:dyDescent="0.2">
      <c r="D248" s="22">
        <v>45354</v>
      </c>
      <c r="E248">
        <v>199</v>
      </c>
      <c r="F248">
        <v>188</v>
      </c>
      <c r="G248" s="70">
        <f>AVERAGE($E$186:E248)</f>
        <v>187.50793650793651</v>
      </c>
      <c r="H248">
        <v>188</v>
      </c>
    </row>
    <row r="249" spans="4:8" x14ac:dyDescent="0.2">
      <c r="D249" s="22">
        <v>45355</v>
      </c>
      <c r="E249">
        <v>179</v>
      </c>
      <c r="F249">
        <v>187</v>
      </c>
      <c r="G249" s="70">
        <f>AVERAGE($E$186:E249)</f>
        <v>187.375</v>
      </c>
      <c r="H249">
        <v>188</v>
      </c>
    </row>
    <row r="250" spans="4:8" x14ac:dyDescent="0.2">
      <c r="D250" s="22">
        <v>45356</v>
      </c>
      <c r="E250">
        <v>190</v>
      </c>
      <c r="F250">
        <v>187</v>
      </c>
      <c r="G250" s="70">
        <f>AVERAGE($E$186:E250)</f>
        <v>187.41538461538462</v>
      </c>
      <c r="H250">
        <v>186</v>
      </c>
    </row>
    <row r="251" spans="4:8" x14ac:dyDescent="0.2">
      <c r="D251" s="22">
        <v>45357</v>
      </c>
      <c r="E251">
        <v>183</v>
      </c>
      <c r="F251">
        <v>187</v>
      </c>
      <c r="G251" s="70">
        <f>AVERAGE($E$186:E251)</f>
        <v>187.34848484848484</v>
      </c>
      <c r="H251">
        <v>186</v>
      </c>
    </row>
    <row r="252" spans="4:8" x14ac:dyDescent="0.2">
      <c r="D252" s="22">
        <v>45358</v>
      </c>
      <c r="E252">
        <v>233</v>
      </c>
      <c r="F252">
        <v>188</v>
      </c>
      <c r="G252" s="70">
        <f>AVERAGE($E$186:E252)</f>
        <v>188.02985074626866</v>
      </c>
      <c r="H252">
        <v>194</v>
      </c>
    </row>
    <row r="253" spans="4:8" x14ac:dyDescent="0.2">
      <c r="D253" s="22">
        <v>45359</v>
      </c>
      <c r="E253">
        <v>176</v>
      </c>
      <c r="F253">
        <v>188</v>
      </c>
      <c r="G253" s="70">
        <f>AVERAGE($E$186:E253)</f>
        <v>187.85294117647058</v>
      </c>
      <c r="H253">
        <v>191</v>
      </c>
    </row>
    <row r="254" spans="4:8" x14ac:dyDescent="0.2">
      <c r="D254" s="22">
        <v>45360</v>
      </c>
      <c r="E254">
        <v>177</v>
      </c>
      <c r="F254">
        <v>188</v>
      </c>
      <c r="G254" s="70">
        <f>AVERAGE($E$186:E254)</f>
        <v>187.69565217391303</v>
      </c>
      <c r="H254">
        <v>191</v>
      </c>
    </row>
    <row r="255" spans="4:8" x14ac:dyDescent="0.2">
      <c r="D255" s="22">
        <v>45361</v>
      </c>
      <c r="E255">
        <v>182</v>
      </c>
      <c r="F255">
        <v>188</v>
      </c>
      <c r="G255" s="70">
        <f>AVERAGE($E$186:E255)</f>
        <v>187.61428571428573</v>
      </c>
      <c r="H255">
        <v>189</v>
      </c>
    </row>
    <row r="256" spans="4:8" x14ac:dyDescent="0.2">
      <c r="D256" s="22">
        <v>45362</v>
      </c>
      <c r="E256">
        <v>189</v>
      </c>
      <c r="F256">
        <v>188</v>
      </c>
      <c r="G256" s="70">
        <f>AVERAGE($E$186:E256)</f>
        <v>187.63380281690141</v>
      </c>
      <c r="H256">
        <v>190</v>
      </c>
    </row>
    <row r="257" spans="4:8" x14ac:dyDescent="0.2">
      <c r="D257" s="22">
        <v>45363</v>
      </c>
      <c r="E257">
        <v>215</v>
      </c>
      <c r="F257">
        <v>188</v>
      </c>
      <c r="G257" s="70">
        <f>AVERAGE($E$186:E257)</f>
        <v>188.01388888888889</v>
      </c>
      <c r="H257">
        <v>194</v>
      </c>
    </row>
    <row r="258" spans="4:8" x14ac:dyDescent="0.2">
      <c r="D258" s="22">
        <v>45364</v>
      </c>
      <c r="E258">
        <v>211</v>
      </c>
      <c r="F258">
        <v>188</v>
      </c>
      <c r="G258" s="70">
        <f>AVERAGE($E$186:E258)</f>
        <v>188.32876712328766</v>
      </c>
      <c r="H258">
        <v>198</v>
      </c>
    </row>
    <row r="259" spans="4:8" x14ac:dyDescent="0.2">
      <c r="D259" s="22">
        <v>45365</v>
      </c>
      <c r="E259">
        <v>181</v>
      </c>
      <c r="F259">
        <v>188</v>
      </c>
      <c r="G259" s="70">
        <f>AVERAGE($E$186:E259)</f>
        <v>188.22972972972974</v>
      </c>
      <c r="H259">
        <v>190</v>
      </c>
    </row>
    <row r="260" spans="4:8" x14ac:dyDescent="0.2">
      <c r="D260" s="22">
        <v>45366</v>
      </c>
      <c r="E260">
        <v>190</v>
      </c>
      <c r="F260">
        <v>188</v>
      </c>
      <c r="G260" s="70">
        <f>AVERAGE($E$186:E260)</f>
        <v>188.25333333333333</v>
      </c>
      <c r="H260">
        <v>192</v>
      </c>
    </row>
    <row r="261" spans="4:8" x14ac:dyDescent="0.2">
      <c r="D261" s="22">
        <v>45367</v>
      </c>
      <c r="E261">
        <v>203</v>
      </c>
      <c r="F261">
        <v>188</v>
      </c>
      <c r="G261" s="70">
        <f>AVERAGE($E$186:E261)</f>
        <v>188.44736842105263</v>
      </c>
      <c r="H261">
        <v>196</v>
      </c>
    </row>
    <row r="262" spans="4:8" x14ac:dyDescent="0.2">
      <c r="D262" s="22">
        <v>45368</v>
      </c>
      <c r="E262">
        <v>207</v>
      </c>
      <c r="F262">
        <v>189</v>
      </c>
      <c r="G262" s="70">
        <f>AVERAGE($E$186:E262)</f>
        <v>188.6883116883117</v>
      </c>
      <c r="H262">
        <v>199</v>
      </c>
    </row>
    <row r="263" spans="4:8" x14ac:dyDescent="0.2">
      <c r="D263" s="22">
        <v>45369</v>
      </c>
      <c r="E263">
        <v>212</v>
      </c>
      <c r="F263">
        <v>189</v>
      </c>
      <c r="G263" s="70">
        <f>AVERAGE($E$186:E263)</f>
        <v>188.98717948717947</v>
      </c>
      <c r="H263">
        <v>203</v>
      </c>
    </row>
    <row r="264" spans="4:8" x14ac:dyDescent="0.2">
      <c r="D264" s="22">
        <v>45370</v>
      </c>
      <c r="E264">
        <v>190</v>
      </c>
      <c r="F264">
        <v>189</v>
      </c>
      <c r="G264" s="70">
        <f>AVERAGE($E$186:E264)</f>
        <v>189</v>
      </c>
      <c r="H264">
        <v>199</v>
      </c>
    </row>
    <row r="265" spans="4:8" x14ac:dyDescent="0.2">
      <c r="D265" s="22">
        <v>45371</v>
      </c>
      <c r="E265">
        <v>188</v>
      </c>
      <c r="F265">
        <v>189</v>
      </c>
      <c r="G265" s="70">
        <f>AVERAGE($E$186:E265)</f>
        <v>188.98750000000001</v>
      </c>
      <c r="H265">
        <v>196</v>
      </c>
    </row>
    <row r="266" spans="4:8" x14ac:dyDescent="0.2">
      <c r="D266" s="22">
        <v>45372</v>
      </c>
      <c r="E266">
        <v>219</v>
      </c>
      <c r="F266">
        <v>189</v>
      </c>
      <c r="G266" s="70">
        <f>AVERAGE($E$186:E266)</f>
        <v>189.35802469135803</v>
      </c>
      <c r="H266">
        <v>201</v>
      </c>
    </row>
    <row r="267" spans="4:8" x14ac:dyDescent="0.2">
      <c r="D267" s="22">
        <v>45373</v>
      </c>
      <c r="E267">
        <v>178</v>
      </c>
      <c r="F267">
        <v>189</v>
      </c>
      <c r="G267" s="70">
        <f>AVERAGE($E$186:E267)</f>
        <v>189.21951219512195</v>
      </c>
      <c r="H267">
        <v>200</v>
      </c>
    </row>
    <row r="268" spans="4:8" x14ac:dyDescent="0.2">
      <c r="D268" s="22">
        <v>45374</v>
      </c>
      <c r="E268">
        <v>180</v>
      </c>
      <c r="F268">
        <v>189</v>
      </c>
      <c r="G268" s="70">
        <f>AVERAGE($E$186:E268)</f>
        <v>189.10843373493975</v>
      </c>
      <c r="H268">
        <v>196</v>
      </c>
    </row>
    <row r="269" spans="4:8" x14ac:dyDescent="0.2">
      <c r="D269" s="22">
        <v>45375</v>
      </c>
      <c r="E269">
        <v>184</v>
      </c>
      <c r="F269">
        <v>189</v>
      </c>
      <c r="G269" s="70">
        <f>AVERAGE($E$186:E269)</f>
        <v>189.04761904761904</v>
      </c>
      <c r="H269">
        <v>193</v>
      </c>
    </row>
    <row r="270" spans="4:8" x14ac:dyDescent="0.2">
      <c r="D270" s="22">
        <v>45376</v>
      </c>
      <c r="E270">
        <v>190</v>
      </c>
      <c r="F270">
        <v>189</v>
      </c>
      <c r="G270" s="70">
        <f>AVERAGE($E$186:E270)</f>
        <v>189.05882352941177</v>
      </c>
      <c r="H270">
        <v>190</v>
      </c>
    </row>
    <row r="271" spans="4:8" x14ac:dyDescent="0.2">
      <c r="D271" s="22">
        <v>45377</v>
      </c>
      <c r="E271">
        <v>187</v>
      </c>
      <c r="F271">
        <v>189</v>
      </c>
      <c r="G271" s="70">
        <f>AVERAGE($E$186:E271)</f>
        <v>189.03488372093022</v>
      </c>
      <c r="H271">
        <v>189</v>
      </c>
    </row>
    <row r="272" spans="4:8" x14ac:dyDescent="0.2">
      <c r="D272" s="22">
        <v>45378</v>
      </c>
      <c r="E272">
        <v>191</v>
      </c>
      <c r="F272">
        <v>189</v>
      </c>
      <c r="G272" s="70">
        <f>AVERAGE($E$186:E272)</f>
        <v>189.05747126436782</v>
      </c>
      <c r="H272">
        <v>190</v>
      </c>
    </row>
    <row r="273" spans="4:8" x14ac:dyDescent="0.2">
      <c r="D273" s="22">
        <v>45379</v>
      </c>
      <c r="E273">
        <v>204</v>
      </c>
      <c r="F273">
        <v>189</v>
      </c>
      <c r="G273" s="70">
        <f>AVERAGE($E$186:E273)</f>
        <v>189.22727272727272</v>
      </c>
      <c r="H273">
        <v>188</v>
      </c>
    </row>
    <row r="274" spans="4:8" x14ac:dyDescent="0.2">
      <c r="D274" s="22">
        <v>45380</v>
      </c>
      <c r="E274">
        <v>199</v>
      </c>
      <c r="F274">
        <v>189</v>
      </c>
      <c r="G274" s="70">
        <f>AVERAGE($E$186:E274)</f>
        <v>189.3370786516854</v>
      </c>
      <c r="H274">
        <v>191</v>
      </c>
    </row>
    <row r="275" spans="4:8" x14ac:dyDescent="0.2">
      <c r="D275" s="22">
        <v>45381</v>
      </c>
      <c r="E275">
        <v>173</v>
      </c>
      <c r="F275">
        <v>189</v>
      </c>
      <c r="G275" s="70">
        <f>AVERAGE($E$186:E275)</f>
        <v>189.15555555555557</v>
      </c>
      <c r="H275">
        <v>190</v>
      </c>
    </row>
    <row r="276" spans="4:8" x14ac:dyDescent="0.2">
      <c r="D276" s="22">
        <v>45382</v>
      </c>
      <c r="E276">
        <v>186</v>
      </c>
      <c r="F276">
        <v>189</v>
      </c>
      <c r="G276" s="70">
        <f>AVERAGE($E$186:E276)</f>
        <v>189.12087912087912</v>
      </c>
      <c r="H276">
        <v>190</v>
      </c>
    </row>
    <row r="277" spans="4:8" x14ac:dyDescent="0.2">
      <c r="D277" s="22">
        <v>45383</v>
      </c>
      <c r="E277">
        <v>197</v>
      </c>
      <c r="F277">
        <v>189</v>
      </c>
      <c r="G277" s="70">
        <f>AVERAGE($E$186:E277)</f>
        <v>189.20652173913044</v>
      </c>
      <c r="H277">
        <v>191</v>
      </c>
    </row>
    <row r="278" spans="4:8" x14ac:dyDescent="0.2">
      <c r="D278" s="22">
        <v>45384</v>
      </c>
      <c r="E278">
        <v>210</v>
      </c>
      <c r="F278">
        <v>189</v>
      </c>
      <c r="G278" s="70">
        <f>AVERAGE($E$186:E278)</f>
        <v>189.43010752688173</v>
      </c>
      <c r="H278">
        <v>194</v>
      </c>
    </row>
    <row r="279" spans="4:8" x14ac:dyDescent="0.2">
      <c r="D279" s="22">
        <v>45385</v>
      </c>
      <c r="E279">
        <v>176</v>
      </c>
      <c r="F279">
        <v>189</v>
      </c>
      <c r="G279" s="70">
        <f>AVERAGE($E$186:E279)</f>
        <v>189.28723404255319</v>
      </c>
      <c r="H279">
        <v>192</v>
      </c>
    </row>
    <row r="280" spans="4:8" x14ac:dyDescent="0.2">
      <c r="D280" s="22">
        <v>45386</v>
      </c>
      <c r="E280">
        <v>190</v>
      </c>
      <c r="F280">
        <v>189</v>
      </c>
      <c r="G280" s="70">
        <f>AVERAGE($E$186:E280)</f>
        <v>189.29473684210527</v>
      </c>
      <c r="H280">
        <v>190</v>
      </c>
    </row>
    <row r="281" spans="4:8" x14ac:dyDescent="0.2">
      <c r="D281" s="22">
        <v>45387</v>
      </c>
      <c r="E281">
        <v>195</v>
      </c>
      <c r="F281">
        <v>189</v>
      </c>
      <c r="G281" s="70">
        <f>AVERAGE($E$186:E281)</f>
        <v>189.35416666666666</v>
      </c>
      <c r="H281">
        <v>190</v>
      </c>
    </row>
    <row r="282" spans="4:8" x14ac:dyDescent="0.2">
      <c r="D282" s="22">
        <v>45388</v>
      </c>
      <c r="E282">
        <v>199</v>
      </c>
      <c r="F282">
        <v>189</v>
      </c>
      <c r="G282" s="70">
        <f>AVERAGE($E$186:E282)</f>
        <v>189.45360824742269</v>
      </c>
      <c r="H282">
        <v>193</v>
      </c>
    </row>
    <row r="283" spans="4:8" x14ac:dyDescent="0.2">
      <c r="D283" s="22">
        <v>45389</v>
      </c>
      <c r="E283">
        <v>187</v>
      </c>
      <c r="F283">
        <v>189</v>
      </c>
      <c r="G283" s="70">
        <f>AVERAGE($E$186:E283)</f>
        <v>189.42857142857142</v>
      </c>
      <c r="H283">
        <v>193</v>
      </c>
    </row>
    <row r="284" spans="4:8" x14ac:dyDescent="0.2">
      <c r="D284" s="22">
        <v>45390</v>
      </c>
      <c r="E284">
        <v>195</v>
      </c>
      <c r="F284">
        <v>189</v>
      </c>
      <c r="G284" s="70">
        <f>AVERAGE($E$186:E284)</f>
        <v>189.4848484848485</v>
      </c>
      <c r="H284">
        <v>193</v>
      </c>
    </row>
    <row r="285" spans="4:8" x14ac:dyDescent="0.2">
      <c r="D285" s="22">
        <v>45391</v>
      </c>
      <c r="E285">
        <v>202</v>
      </c>
      <c r="F285">
        <v>190</v>
      </c>
      <c r="G285" s="70">
        <f>AVERAGE($E$186:E285)</f>
        <v>189.61</v>
      </c>
      <c r="H285">
        <v>192</v>
      </c>
    </row>
    <row r="286" spans="4:8" x14ac:dyDescent="0.2">
      <c r="D286" s="22">
        <v>45392</v>
      </c>
      <c r="E286">
        <v>191</v>
      </c>
      <c r="F286">
        <v>190</v>
      </c>
      <c r="G286" s="70">
        <f>AVERAGE($E$186:E286)</f>
        <v>189.62376237623764</v>
      </c>
      <c r="H286">
        <v>194</v>
      </c>
    </row>
    <row r="287" spans="4:8" x14ac:dyDescent="0.2">
      <c r="D287" s="22">
        <v>45393</v>
      </c>
      <c r="E287">
        <v>188</v>
      </c>
      <c r="F287">
        <v>190</v>
      </c>
      <c r="G287" s="70">
        <f>AVERAGE($E$186:E287)</f>
        <v>189.60784313725489</v>
      </c>
      <c r="H287">
        <v>194</v>
      </c>
    </row>
    <row r="288" spans="4:8" x14ac:dyDescent="0.2">
      <c r="D288" s="22">
        <v>45394</v>
      </c>
      <c r="E288">
        <v>206</v>
      </c>
      <c r="F288">
        <v>190</v>
      </c>
      <c r="G288" s="70">
        <f>AVERAGE($E$186:E288)</f>
        <v>189.76699029126215</v>
      </c>
      <c r="H288">
        <v>195</v>
      </c>
    </row>
    <row r="289" spans="4:8" x14ac:dyDescent="0.2">
      <c r="D289" s="22">
        <v>45395</v>
      </c>
      <c r="E289">
        <v>186</v>
      </c>
      <c r="F289">
        <v>190</v>
      </c>
      <c r="G289" s="70">
        <f>AVERAGE($E$186:E289)</f>
        <v>189.73076923076923</v>
      </c>
      <c r="H289">
        <v>194</v>
      </c>
    </row>
    <row r="290" spans="4:8" x14ac:dyDescent="0.2">
      <c r="D290" s="22">
        <v>45396</v>
      </c>
      <c r="E290">
        <v>182</v>
      </c>
      <c r="F290">
        <v>190</v>
      </c>
      <c r="G290" s="70">
        <f>AVERAGE($E$186:E290)</f>
        <v>189.65714285714284</v>
      </c>
      <c r="H290">
        <v>193</v>
      </c>
    </row>
    <row r="291" spans="4:8" x14ac:dyDescent="0.2">
      <c r="D291" s="22">
        <v>45397</v>
      </c>
      <c r="E291">
        <v>185</v>
      </c>
      <c r="F291">
        <v>190</v>
      </c>
      <c r="G291" s="70">
        <f>AVERAGE($E$186:E291)</f>
        <v>189.61320754716982</v>
      </c>
      <c r="H291">
        <v>191</v>
      </c>
    </row>
    <row r="292" spans="4:8" x14ac:dyDescent="0.2">
      <c r="D292" s="22">
        <v>45398</v>
      </c>
      <c r="E292">
        <v>181</v>
      </c>
      <c r="F292">
        <v>190</v>
      </c>
      <c r="G292" s="70">
        <f>AVERAGE($E$186:E292)</f>
        <v>189.53271028037383</v>
      </c>
      <c r="H292">
        <v>188</v>
      </c>
    </row>
    <row r="293" spans="4:8" x14ac:dyDescent="0.2">
      <c r="D293" s="22">
        <v>45399</v>
      </c>
      <c r="E293">
        <v>177</v>
      </c>
      <c r="F293">
        <v>189</v>
      </c>
      <c r="G293" s="70">
        <f>AVERAGE($E$186:E293)</f>
        <v>189.41666666666666</v>
      </c>
      <c r="H293">
        <v>186</v>
      </c>
    </row>
    <row r="294" spans="4:8" x14ac:dyDescent="0.2">
      <c r="D294" s="22">
        <v>45400</v>
      </c>
      <c r="E294">
        <v>201</v>
      </c>
      <c r="F294">
        <v>190</v>
      </c>
      <c r="G294" s="70">
        <f>AVERAGE($E$186:E294)</f>
        <v>189.52293577981652</v>
      </c>
      <c r="H294">
        <v>188</v>
      </c>
    </row>
    <row r="295" spans="4:8" x14ac:dyDescent="0.2">
      <c r="D295" s="22">
        <v>45401</v>
      </c>
      <c r="E295">
        <v>172</v>
      </c>
      <c r="F295">
        <v>189</v>
      </c>
      <c r="G295" s="70">
        <f>AVERAGE($E$186:E295)</f>
        <v>189.36363636363637</v>
      </c>
      <c r="H295">
        <v>183</v>
      </c>
    </row>
    <row r="296" spans="4:8" x14ac:dyDescent="0.2">
      <c r="D296" s="22">
        <v>45402</v>
      </c>
      <c r="E296">
        <v>195</v>
      </c>
      <c r="F296">
        <v>189</v>
      </c>
      <c r="G296" s="70">
        <f>AVERAGE($E$186:E296)</f>
        <v>189.41441441441441</v>
      </c>
      <c r="H296">
        <v>185</v>
      </c>
    </row>
    <row r="297" spans="4:8" x14ac:dyDescent="0.2">
      <c r="D297" s="22">
        <v>45403</v>
      </c>
      <c r="E297">
        <v>208</v>
      </c>
      <c r="F297">
        <v>190</v>
      </c>
      <c r="G297" s="70">
        <f>AVERAGE($E$186:E297)</f>
        <v>189.58035714285714</v>
      </c>
      <c r="H297">
        <v>188</v>
      </c>
    </row>
    <row r="298" spans="4:8" x14ac:dyDescent="0.2">
      <c r="D298" s="22">
        <v>45404</v>
      </c>
      <c r="E298">
        <v>160</v>
      </c>
      <c r="F298">
        <v>189</v>
      </c>
      <c r="G298" s="70">
        <f>AVERAGE($E$186:E298)</f>
        <v>189.31858407079645</v>
      </c>
      <c r="H298">
        <v>185</v>
      </c>
    </row>
    <row r="299" spans="4:8" x14ac:dyDescent="0.2">
      <c r="D299" s="22">
        <v>45405</v>
      </c>
      <c r="E299">
        <v>194</v>
      </c>
      <c r="F299">
        <v>189</v>
      </c>
      <c r="G299" s="70">
        <f>AVERAGE($E$186:E299)</f>
        <v>189.35964912280701</v>
      </c>
      <c r="H299">
        <v>187</v>
      </c>
    </row>
    <row r="300" spans="4:8" x14ac:dyDescent="0.2">
      <c r="D300" s="22">
        <v>45406</v>
      </c>
      <c r="E300">
        <v>208</v>
      </c>
      <c r="F300">
        <v>190</v>
      </c>
      <c r="G300" s="70">
        <f>AVERAGE($E$186:E300)</f>
        <v>189.52173913043478</v>
      </c>
      <c r="H300">
        <v>191</v>
      </c>
    </row>
    <row r="301" spans="4:8" x14ac:dyDescent="0.2">
      <c r="D301" s="22">
        <v>45407</v>
      </c>
      <c r="E301">
        <v>191</v>
      </c>
      <c r="F301">
        <v>190</v>
      </c>
      <c r="G301" s="70">
        <f>AVERAGE($E$186:E301)</f>
        <v>189.5344827586207</v>
      </c>
      <c r="H301">
        <v>190</v>
      </c>
    </row>
    <row r="302" spans="4:8" x14ac:dyDescent="0.2">
      <c r="D302" s="22">
        <v>45408</v>
      </c>
      <c r="E302">
        <v>197</v>
      </c>
      <c r="F302">
        <v>190</v>
      </c>
      <c r="G302" s="70">
        <f>AVERAGE($E$186:E302)</f>
        <v>189.59829059829059</v>
      </c>
      <c r="H302">
        <v>193</v>
      </c>
    </row>
    <row r="303" spans="4:8" x14ac:dyDescent="0.2">
      <c r="D303" s="22">
        <v>45409</v>
      </c>
      <c r="E303">
        <v>206</v>
      </c>
      <c r="F303">
        <v>190</v>
      </c>
      <c r="G303" s="70">
        <f>AVERAGE($E$186:E303)</f>
        <v>189.73728813559322</v>
      </c>
      <c r="H303">
        <v>195</v>
      </c>
    </row>
    <row r="304" spans="4:8" x14ac:dyDescent="0.2">
      <c r="D304" s="22">
        <v>45410</v>
      </c>
      <c r="E304">
        <v>196</v>
      </c>
      <c r="F304">
        <v>190</v>
      </c>
      <c r="G304" s="70">
        <f>AVERAGE($E$186:E304)</f>
        <v>189.78991596638656</v>
      </c>
      <c r="H304">
        <v>193</v>
      </c>
    </row>
    <row r="305" spans="4:8" x14ac:dyDescent="0.2">
      <c r="D305" s="22">
        <v>45411</v>
      </c>
      <c r="E305">
        <v>188</v>
      </c>
      <c r="F305">
        <v>190</v>
      </c>
      <c r="G305" s="70">
        <f>AVERAGE($E$186:E305)</f>
        <v>189.77500000000001</v>
      </c>
      <c r="H305">
        <v>197</v>
      </c>
    </row>
    <row r="306" spans="4:8" x14ac:dyDescent="0.2">
      <c r="D306" s="22">
        <v>45412</v>
      </c>
      <c r="E306">
        <v>197</v>
      </c>
      <c r="F306">
        <v>190</v>
      </c>
      <c r="G306" s="70">
        <f>AVERAGE($E$186:E306)</f>
        <v>189.83471074380165</v>
      </c>
      <c r="H306">
        <v>198</v>
      </c>
    </row>
    <row r="307" spans="4:8" x14ac:dyDescent="0.2">
      <c r="D307" s="22">
        <v>45413</v>
      </c>
      <c r="E307">
        <v>174</v>
      </c>
      <c r="F307">
        <v>190</v>
      </c>
      <c r="G307" s="70">
        <f>AVERAGE($E$186:E307)</f>
        <v>189.70491803278688</v>
      </c>
      <c r="H307">
        <v>193</v>
      </c>
    </row>
    <row r="308" spans="4:8" x14ac:dyDescent="0.2">
      <c r="D308" s="22">
        <v>45414</v>
      </c>
      <c r="E308">
        <v>187</v>
      </c>
      <c r="F308">
        <v>190</v>
      </c>
      <c r="G308" s="70">
        <f>AVERAGE($E$186:E308)</f>
        <v>189.6829268292683</v>
      </c>
      <c r="H308">
        <v>192</v>
      </c>
    </row>
    <row r="309" spans="4:8" x14ac:dyDescent="0.2">
      <c r="D309" s="22">
        <v>45415</v>
      </c>
      <c r="E309">
        <v>187</v>
      </c>
      <c r="F309">
        <v>190</v>
      </c>
      <c r="G309" s="70">
        <f>AVERAGE($E$186:E309)</f>
        <v>189.66129032258064</v>
      </c>
      <c r="H309">
        <v>191</v>
      </c>
    </row>
    <row r="310" spans="4:8" x14ac:dyDescent="0.2">
      <c r="D310" s="22">
        <v>45416</v>
      </c>
      <c r="E310">
        <v>164</v>
      </c>
      <c r="F310">
        <v>189</v>
      </c>
      <c r="G310" s="70">
        <f>AVERAGE($E$186:E310)</f>
        <v>189.45599999999999</v>
      </c>
      <c r="H310">
        <v>185</v>
      </c>
    </row>
    <row r="311" spans="4:8" x14ac:dyDescent="0.2">
      <c r="D311" s="22">
        <v>45417</v>
      </c>
      <c r="E311">
        <v>176</v>
      </c>
      <c r="F311">
        <v>189</v>
      </c>
      <c r="G311" s="70">
        <f>AVERAGE($E$186:E311)</f>
        <v>189.34920634920636</v>
      </c>
      <c r="H311">
        <v>182</v>
      </c>
    </row>
    <row r="312" spans="4:8" x14ac:dyDescent="0.2">
      <c r="D312" s="22">
        <v>45418</v>
      </c>
      <c r="E312">
        <v>200</v>
      </c>
      <c r="F312">
        <v>189</v>
      </c>
      <c r="G312" s="70">
        <f>AVERAGE($E$186:E312)</f>
        <v>189.43307086614172</v>
      </c>
      <c r="H312">
        <v>184</v>
      </c>
    </row>
    <row r="313" spans="4:8" x14ac:dyDescent="0.2">
      <c r="D313" s="22">
        <v>45419</v>
      </c>
      <c r="E313">
        <v>193</v>
      </c>
      <c r="F313">
        <v>189</v>
      </c>
      <c r="G313" s="70">
        <f>AVERAGE($E$186:E313)</f>
        <v>189.4609375</v>
      </c>
      <c r="H313">
        <v>183</v>
      </c>
    </row>
    <row r="314" spans="4:8" x14ac:dyDescent="0.2">
      <c r="D314" s="22">
        <v>45420</v>
      </c>
      <c r="E314">
        <v>193</v>
      </c>
      <c r="F314">
        <v>189</v>
      </c>
      <c r="G314" s="70">
        <f>AVERAGE($E$186:E314)</f>
        <v>189.48837209302326</v>
      </c>
      <c r="H314">
        <v>186</v>
      </c>
    </row>
    <row r="315" spans="4:8" x14ac:dyDescent="0.2">
      <c r="D315" s="22">
        <v>45421</v>
      </c>
      <c r="E315">
        <v>198</v>
      </c>
      <c r="F315">
        <v>190</v>
      </c>
      <c r="G315" s="70">
        <f>AVERAGE($E$186:E315)</f>
        <v>189.55384615384617</v>
      </c>
      <c r="H315">
        <v>187</v>
      </c>
    </row>
    <row r="316" spans="4:8" x14ac:dyDescent="0.2">
      <c r="D316" s="22">
        <v>45422</v>
      </c>
      <c r="E316">
        <v>182</v>
      </c>
      <c r="F316">
        <v>189</v>
      </c>
      <c r="G316" s="70">
        <f>AVERAGE($E$186:E316)</f>
        <v>189.49618320610688</v>
      </c>
      <c r="H316">
        <v>187</v>
      </c>
    </row>
    <row r="317" spans="4:8" x14ac:dyDescent="0.2">
      <c r="D317" s="22">
        <v>45423</v>
      </c>
      <c r="E317">
        <v>182</v>
      </c>
      <c r="F317">
        <v>189</v>
      </c>
      <c r="G317" s="70">
        <f>AVERAGE($E$186:E317)</f>
        <v>189.43939393939394</v>
      </c>
      <c r="H317">
        <v>189</v>
      </c>
    </row>
    <row r="318" spans="4:8" x14ac:dyDescent="0.2">
      <c r="D318" s="22">
        <v>45424</v>
      </c>
      <c r="E318">
        <v>200</v>
      </c>
      <c r="F318">
        <v>190</v>
      </c>
      <c r="G318" s="70">
        <f>AVERAGE($E$186:E318)</f>
        <v>189.51879699248121</v>
      </c>
      <c r="H318">
        <v>193</v>
      </c>
    </row>
    <row r="319" spans="4:8" x14ac:dyDescent="0.2">
      <c r="D319" s="22">
        <v>45425</v>
      </c>
      <c r="E319">
        <v>194</v>
      </c>
      <c r="F319">
        <v>190</v>
      </c>
      <c r="G319" s="70">
        <f>AVERAGE($E$186:E319)</f>
        <v>189.55223880597015</v>
      </c>
      <c r="H319">
        <v>192</v>
      </c>
    </row>
    <row r="320" spans="4:8" x14ac:dyDescent="0.2">
      <c r="D320" s="22">
        <v>45426</v>
      </c>
      <c r="E320">
        <v>197</v>
      </c>
      <c r="F320">
        <v>190</v>
      </c>
      <c r="G320" s="70">
        <f>AVERAGE($E$186:E320)</f>
        <v>189.60740740740741</v>
      </c>
      <c r="H320">
        <v>192</v>
      </c>
    </row>
    <row r="321" spans="4:8" x14ac:dyDescent="0.2">
      <c r="D321" s="22">
        <v>45427</v>
      </c>
      <c r="E321">
        <v>205</v>
      </c>
      <c r="F321">
        <v>190</v>
      </c>
      <c r="G321" s="70">
        <f>AVERAGE($E$186:E321)</f>
        <v>189.72058823529412</v>
      </c>
      <c r="H321">
        <v>194</v>
      </c>
    </row>
    <row r="322" spans="4:8" x14ac:dyDescent="0.2">
      <c r="D322" s="22">
        <v>45428</v>
      </c>
      <c r="E322">
        <v>186</v>
      </c>
      <c r="F322">
        <v>190</v>
      </c>
      <c r="G322" s="70">
        <f>AVERAGE($E$186:E322)</f>
        <v>189.69343065693431</v>
      </c>
      <c r="H322">
        <v>192</v>
      </c>
    </row>
    <row r="323" spans="4:8" x14ac:dyDescent="0.2">
      <c r="D323" s="22">
        <v>45429</v>
      </c>
      <c r="E323">
        <v>204</v>
      </c>
      <c r="F323">
        <v>190</v>
      </c>
      <c r="G323" s="70">
        <f>AVERAGE($E$186:E323)</f>
        <v>189.79710144927537</v>
      </c>
      <c r="H323">
        <v>195</v>
      </c>
    </row>
    <row r="324" spans="4:8" x14ac:dyDescent="0.2">
      <c r="D324" s="22">
        <v>45430</v>
      </c>
      <c r="E324">
        <v>206</v>
      </c>
      <c r="F324">
        <v>190</v>
      </c>
      <c r="G324" s="70">
        <f>AVERAGE($E$186:E324)</f>
        <v>189.91366906474821</v>
      </c>
      <c r="H324">
        <v>199</v>
      </c>
    </row>
    <row r="325" spans="4:8" x14ac:dyDescent="0.2">
      <c r="D325" s="22">
        <v>45431</v>
      </c>
      <c r="E325">
        <v>186</v>
      </c>
      <c r="F325">
        <v>190</v>
      </c>
      <c r="G325" s="70">
        <f>AVERAGE($E$186:E325)</f>
        <v>189.88571428571427</v>
      </c>
      <c r="H325">
        <v>197</v>
      </c>
    </row>
    <row r="326" spans="4:8" x14ac:dyDescent="0.2">
      <c r="D326" s="22">
        <v>45432</v>
      </c>
      <c r="E326">
        <v>177</v>
      </c>
      <c r="F326">
        <v>190</v>
      </c>
      <c r="G326" s="70">
        <f>AVERAGE($E$186:E326)</f>
        <v>189.79432624113474</v>
      </c>
      <c r="H326">
        <v>194</v>
      </c>
    </row>
    <row r="327" spans="4:8" x14ac:dyDescent="0.2">
      <c r="D327" s="22">
        <v>45433</v>
      </c>
      <c r="E327">
        <v>193</v>
      </c>
      <c r="F327">
        <v>190</v>
      </c>
      <c r="G327" s="70">
        <f>AVERAGE($E$186:E327)</f>
        <v>189.81690140845072</v>
      </c>
      <c r="H327">
        <v>194</v>
      </c>
    </row>
    <row r="328" spans="4:8" x14ac:dyDescent="0.2">
      <c r="D328" s="22">
        <v>45434</v>
      </c>
      <c r="E328">
        <v>187</v>
      </c>
      <c r="F328">
        <v>190</v>
      </c>
      <c r="G328" s="70">
        <f>AVERAGE($E$186:E328)</f>
        <v>189.7972027972028</v>
      </c>
      <c r="H328">
        <v>191</v>
      </c>
    </row>
    <row r="329" spans="4:8" x14ac:dyDescent="0.2">
      <c r="D329" s="22">
        <v>45435</v>
      </c>
      <c r="E329">
        <v>198</v>
      </c>
      <c r="F329">
        <v>190</v>
      </c>
      <c r="G329" s="70">
        <f>AVERAGE($E$186:E329)</f>
        <v>189.85416666666666</v>
      </c>
      <c r="H329">
        <v>193</v>
      </c>
    </row>
    <row r="330" spans="4:8" x14ac:dyDescent="0.2">
      <c r="D330" s="22">
        <v>45436</v>
      </c>
      <c r="E330">
        <v>188</v>
      </c>
      <c r="F330">
        <v>190</v>
      </c>
      <c r="G330" s="70">
        <f>AVERAGE($E$186:E330)</f>
        <v>189.84137931034482</v>
      </c>
      <c r="H330">
        <v>191</v>
      </c>
    </row>
    <row r="331" spans="4:8" x14ac:dyDescent="0.2">
      <c r="D331" s="22">
        <v>45437</v>
      </c>
      <c r="E331">
        <v>163</v>
      </c>
      <c r="F331">
        <v>190</v>
      </c>
      <c r="G331" s="70">
        <f>AVERAGE($E$186:E331)</f>
        <v>189.65753424657535</v>
      </c>
      <c r="H331">
        <v>185</v>
      </c>
    </row>
    <row r="332" spans="4:8" x14ac:dyDescent="0.2">
      <c r="D332" s="22">
        <v>45438</v>
      </c>
      <c r="E332">
        <v>190</v>
      </c>
      <c r="F332">
        <v>190</v>
      </c>
      <c r="G332" s="70">
        <f>AVERAGE($E$186:E332)</f>
        <v>189.65986394557822</v>
      </c>
      <c r="H332">
        <v>185</v>
      </c>
    </row>
    <row r="333" spans="4:8" x14ac:dyDescent="0.2">
      <c r="D333" s="22">
        <v>45439</v>
      </c>
      <c r="E333">
        <v>188</v>
      </c>
      <c r="F333">
        <v>190</v>
      </c>
      <c r="H333">
        <v>187</v>
      </c>
    </row>
    <row r="334" spans="4:8" x14ac:dyDescent="0.2">
      <c r="D334" s="22">
        <v>45440</v>
      </c>
      <c r="E334">
        <v>166</v>
      </c>
      <c r="F334">
        <v>189</v>
      </c>
      <c r="H334">
        <v>183</v>
      </c>
    </row>
    <row r="335" spans="4:8" x14ac:dyDescent="0.2">
      <c r="D335" s="22">
        <v>45441</v>
      </c>
      <c r="E335">
        <v>187</v>
      </c>
      <c r="F335">
        <v>189</v>
      </c>
      <c r="H335">
        <v>183</v>
      </c>
    </row>
    <row r="336" spans="4:8" x14ac:dyDescent="0.2">
      <c r="D336" s="22">
        <v>45442</v>
      </c>
      <c r="E336">
        <v>208</v>
      </c>
      <c r="F336">
        <v>190</v>
      </c>
      <c r="H336">
        <v>184</v>
      </c>
    </row>
    <row r="337" spans="4:8" x14ac:dyDescent="0.2">
      <c r="D337" s="22">
        <v>45443</v>
      </c>
      <c r="E337">
        <v>200</v>
      </c>
      <c r="F337">
        <v>190</v>
      </c>
      <c r="H337">
        <v>186</v>
      </c>
    </row>
    <row r="338" spans="4:8" x14ac:dyDescent="0.2">
      <c r="D338" s="22">
        <v>45444</v>
      </c>
      <c r="E338">
        <v>205</v>
      </c>
      <c r="F338">
        <v>190</v>
      </c>
      <c r="H338">
        <v>192</v>
      </c>
    </row>
    <row r="339" spans="4:8" x14ac:dyDescent="0.2">
      <c r="D339" s="22">
        <v>45445</v>
      </c>
      <c r="E339">
        <v>185</v>
      </c>
      <c r="F339">
        <v>190</v>
      </c>
      <c r="H339">
        <v>191</v>
      </c>
    </row>
    <row r="340" spans="4:8" x14ac:dyDescent="0.2">
      <c r="D340" s="22">
        <v>45446</v>
      </c>
      <c r="E340">
        <v>177</v>
      </c>
      <c r="F340">
        <v>190</v>
      </c>
      <c r="H340">
        <v>190</v>
      </c>
    </row>
    <row r="341" spans="4:8" x14ac:dyDescent="0.2">
      <c r="D341" s="22">
        <v>45447</v>
      </c>
      <c r="E341">
        <v>174</v>
      </c>
      <c r="F341">
        <v>190</v>
      </c>
      <c r="H341">
        <v>191</v>
      </c>
    </row>
    <row r="342" spans="4:8" x14ac:dyDescent="0.2">
      <c r="D342" s="22">
        <v>45448</v>
      </c>
      <c r="E342">
        <v>190</v>
      </c>
      <c r="F342">
        <v>190</v>
      </c>
      <c r="H342">
        <v>191</v>
      </c>
    </row>
    <row r="343" spans="4:8" x14ac:dyDescent="0.2">
      <c r="D343" s="22">
        <v>45449</v>
      </c>
      <c r="E343">
        <v>191</v>
      </c>
      <c r="F343">
        <v>190</v>
      </c>
      <c r="H343">
        <v>189</v>
      </c>
    </row>
    <row r="344" spans="4:8" x14ac:dyDescent="0.2">
      <c r="D344" s="22">
        <v>45450</v>
      </c>
      <c r="E344">
        <v>192</v>
      </c>
      <c r="F344">
        <v>190</v>
      </c>
      <c r="H344">
        <v>188</v>
      </c>
    </row>
    <row r="345" spans="4:8" x14ac:dyDescent="0.2">
      <c r="D345" s="22">
        <v>45451</v>
      </c>
      <c r="E345">
        <v>212</v>
      </c>
      <c r="F345">
        <v>190</v>
      </c>
      <c r="H345">
        <v>189</v>
      </c>
    </row>
    <row r="346" spans="4:8" x14ac:dyDescent="0.2">
      <c r="D346" s="22">
        <v>45452</v>
      </c>
      <c r="E346">
        <v>204</v>
      </c>
      <c r="F346">
        <v>190</v>
      </c>
      <c r="H346">
        <v>191</v>
      </c>
    </row>
    <row r="347" spans="4:8" x14ac:dyDescent="0.2">
      <c r="D347" s="22">
        <v>45453</v>
      </c>
      <c r="E347">
        <v>191</v>
      </c>
      <c r="F347">
        <v>190</v>
      </c>
      <c r="H347">
        <v>193</v>
      </c>
    </row>
    <row r="348" spans="4:8" x14ac:dyDescent="0.2">
      <c r="D348" s="22">
        <v>45454</v>
      </c>
      <c r="E348">
        <v>167</v>
      </c>
      <c r="F348">
        <v>190</v>
      </c>
      <c r="H348">
        <v>192</v>
      </c>
    </row>
    <row r="349" spans="4:8" x14ac:dyDescent="0.2">
      <c r="D349" s="22">
        <v>45455</v>
      </c>
      <c r="E349">
        <v>180</v>
      </c>
      <c r="F349">
        <v>190</v>
      </c>
      <c r="H349">
        <v>191</v>
      </c>
    </row>
    <row r="350" spans="4:8" x14ac:dyDescent="0.2">
      <c r="D350" s="22">
        <v>45456</v>
      </c>
      <c r="E350">
        <v>215</v>
      </c>
      <c r="F350">
        <v>190</v>
      </c>
      <c r="H350">
        <v>194</v>
      </c>
    </row>
    <row r="351" spans="4:8" x14ac:dyDescent="0.2">
      <c r="D351" s="22">
        <v>45457</v>
      </c>
      <c r="E351">
        <v>167</v>
      </c>
      <c r="F351">
        <v>190</v>
      </c>
      <c r="H351">
        <v>191</v>
      </c>
    </row>
    <row r="352" spans="4:8" x14ac:dyDescent="0.2">
      <c r="D352" s="22">
        <v>45458</v>
      </c>
      <c r="E352">
        <v>208</v>
      </c>
      <c r="F352">
        <v>190</v>
      </c>
      <c r="H352">
        <v>190</v>
      </c>
    </row>
    <row r="353" spans="4:8" x14ac:dyDescent="0.2">
      <c r="D353" s="22">
        <v>45459</v>
      </c>
      <c r="E353">
        <v>188</v>
      </c>
      <c r="F353">
        <v>190</v>
      </c>
      <c r="H353">
        <v>188</v>
      </c>
    </row>
    <row r="354" spans="4:8" x14ac:dyDescent="0.2">
      <c r="D354" s="22">
        <v>45460</v>
      </c>
      <c r="E354">
        <v>174</v>
      </c>
      <c r="F354">
        <v>190</v>
      </c>
      <c r="H354">
        <v>186</v>
      </c>
    </row>
    <row r="355" spans="4:8" x14ac:dyDescent="0.2">
      <c r="D355" s="22">
        <v>45461</v>
      </c>
      <c r="E355">
        <v>196</v>
      </c>
      <c r="F355">
        <v>190</v>
      </c>
      <c r="H355">
        <v>190</v>
      </c>
    </row>
    <row r="356" spans="4:8" x14ac:dyDescent="0.2">
      <c r="D356" s="22">
        <v>45462</v>
      </c>
      <c r="E356">
        <v>191</v>
      </c>
      <c r="F356">
        <v>190</v>
      </c>
      <c r="H356">
        <v>191</v>
      </c>
    </row>
    <row r="357" spans="4:8" x14ac:dyDescent="0.2">
      <c r="D357" s="22">
        <v>45463</v>
      </c>
      <c r="E357">
        <v>177</v>
      </c>
      <c r="F357">
        <v>190</v>
      </c>
      <c r="H357">
        <v>186</v>
      </c>
    </row>
    <row r="358" spans="4:8" x14ac:dyDescent="0.2">
      <c r="D358" s="22">
        <v>45464</v>
      </c>
      <c r="E358">
        <v>204</v>
      </c>
      <c r="F358">
        <v>190</v>
      </c>
      <c r="H358">
        <v>191</v>
      </c>
    </row>
    <row r="359" spans="4:8" x14ac:dyDescent="0.2">
      <c r="D359" s="22">
        <v>45465</v>
      </c>
      <c r="E359">
        <v>195</v>
      </c>
      <c r="F359">
        <v>190</v>
      </c>
      <c r="H359">
        <v>189</v>
      </c>
    </row>
    <row r="360" spans="4:8" x14ac:dyDescent="0.2">
      <c r="D360" s="22">
        <v>45466</v>
      </c>
      <c r="E360">
        <v>188</v>
      </c>
      <c r="F360">
        <v>190</v>
      </c>
      <c r="H360">
        <v>189</v>
      </c>
    </row>
    <row r="361" spans="4:8" x14ac:dyDescent="0.2">
      <c r="D361" s="22">
        <v>45467</v>
      </c>
      <c r="E361">
        <v>186</v>
      </c>
      <c r="F361">
        <v>190</v>
      </c>
      <c r="H361">
        <v>191</v>
      </c>
    </row>
    <row r="362" spans="4:8" x14ac:dyDescent="0.2">
      <c r="D362" s="22">
        <v>45468</v>
      </c>
      <c r="E362">
        <v>187</v>
      </c>
      <c r="F362">
        <v>190</v>
      </c>
      <c r="H362">
        <v>190</v>
      </c>
    </row>
    <row r="363" spans="4:8" x14ac:dyDescent="0.2">
      <c r="D363" s="22">
        <v>45469</v>
      </c>
      <c r="E363">
        <v>192</v>
      </c>
      <c r="F363">
        <v>190</v>
      </c>
      <c r="H363">
        <v>190</v>
      </c>
    </row>
    <row r="364" spans="4:8" x14ac:dyDescent="0.2">
      <c r="D364" s="22">
        <v>45470</v>
      </c>
      <c r="E364">
        <v>183</v>
      </c>
      <c r="F364">
        <v>190</v>
      </c>
      <c r="H364">
        <v>191</v>
      </c>
    </row>
    <row r="365" spans="4:8" x14ac:dyDescent="0.2">
      <c r="D365" s="22">
        <v>45471</v>
      </c>
      <c r="E365">
        <v>165</v>
      </c>
      <c r="F365">
        <v>190</v>
      </c>
      <c r="H365">
        <v>185</v>
      </c>
    </row>
    <row r="366" spans="4:8" x14ac:dyDescent="0.2">
      <c r="D366" s="22">
        <v>45472</v>
      </c>
      <c r="E366">
        <v>177</v>
      </c>
      <c r="F366">
        <v>189</v>
      </c>
      <c r="H366">
        <v>183</v>
      </c>
    </row>
    <row r="367" spans="4:8" x14ac:dyDescent="0.2">
      <c r="D367" s="22">
        <v>45473</v>
      </c>
      <c r="E367">
        <v>196</v>
      </c>
      <c r="F367">
        <v>189</v>
      </c>
      <c r="H367">
        <v>184</v>
      </c>
    </row>
    <row r="368" spans="4:8" x14ac:dyDescent="0.2">
      <c r="D368" s="22">
        <v>45474</v>
      </c>
      <c r="E368">
        <v>201</v>
      </c>
      <c r="F368">
        <v>190</v>
      </c>
      <c r="H368">
        <v>186</v>
      </c>
    </row>
    <row r="369" spans="4:8" x14ac:dyDescent="0.2">
      <c r="D369" s="22">
        <v>45475</v>
      </c>
      <c r="E369">
        <v>179</v>
      </c>
      <c r="F369">
        <v>189</v>
      </c>
      <c r="H369">
        <v>185</v>
      </c>
    </row>
    <row r="370" spans="4:8" x14ac:dyDescent="0.2">
      <c r="D370" s="22">
        <v>45476</v>
      </c>
      <c r="E370">
        <v>163</v>
      </c>
      <c r="F370">
        <v>189</v>
      </c>
      <c r="H370">
        <v>181</v>
      </c>
    </row>
    <row r="371" spans="4:8" x14ac:dyDescent="0.2">
      <c r="D371" s="22">
        <v>45477</v>
      </c>
      <c r="E371">
        <v>202</v>
      </c>
      <c r="F371">
        <v>189</v>
      </c>
      <c r="H371">
        <v>183</v>
      </c>
    </row>
    <row r="372" spans="4:8" x14ac:dyDescent="0.2">
      <c r="D372" s="22">
        <v>45478</v>
      </c>
      <c r="E372">
        <v>191</v>
      </c>
      <c r="F372">
        <v>189</v>
      </c>
      <c r="H372">
        <v>187</v>
      </c>
    </row>
    <row r="373" spans="4:8" x14ac:dyDescent="0.2">
      <c r="D373" s="22">
        <v>45479</v>
      </c>
      <c r="E373">
        <v>193</v>
      </c>
      <c r="F373">
        <v>189</v>
      </c>
      <c r="H373">
        <v>189</v>
      </c>
    </row>
    <row r="374" spans="4:8" x14ac:dyDescent="0.2">
      <c r="D374" s="22">
        <v>45480</v>
      </c>
      <c r="E374">
        <v>175</v>
      </c>
      <c r="F374">
        <v>189</v>
      </c>
      <c r="H374">
        <v>186</v>
      </c>
    </row>
    <row r="375" spans="4:8" x14ac:dyDescent="0.2">
      <c r="D375" s="22">
        <v>45481</v>
      </c>
      <c r="E375">
        <v>175</v>
      </c>
      <c r="F375">
        <v>189</v>
      </c>
      <c r="H375">
        <v>183</v>
      </c>
    </row>
    <row r="376" spans="4:8" x14ac:dyDescent="0.2">
      <c r="D376" s="22">
        <v>45482</v>
      </c>
      <c r="E376">
        <v>181</v>
      </c>
      <c r="F376">
        <v>189</v>
      </c>
      <c r="H376">
        <v>183</v>
      </c>
    </row>
    <row r="377" spans="4:8" x14ac:dyDescent="0.2">
      <c r="D377" s="22">
        <v>45483</v>
      </c>
      <c r="E377">
        <v>198</v>
      </c>
      <c r="F377">
        <v>189</v>
      </c>
      <c r="H377">
        <v>188</v>
      </c>
    </row>
    <row r="378" spans="4:8" x14ac:dyDescent="0.2">
      <c r="D378" s="22">
        <v>45484</v>
      </c>
      <c r="E378">
        <v>199</v>
      </c>
      <c r="F378">
        <v>189</v>
      </c>
      <c r="H378">
        <v>187</v>
      </c>
    </row>
    <row r="379" spans="4:8" x14ac:dyDescent="0.2">
      <c r="D379" s="22">
        <v>45485</v>
      </c>
      <c r="E379">
        <v>161</v>
      </c>
      <c r="F379">
        <v>189</v>
      </c>
      <c r="H379">
        <v>183</v>
      </c>
    </row>
    <row r="380" spans="4:8" x14ac:dyDescent="0.2">
      <c r="D380" s="22">
        <v>45486</v>
      </c>
      <c r="E380">
        <v>199</v>
      </c>
      <c r="F380">
        <v>189</v>
      </c>
      <c r="H380">
        <v>184</v>
      </c>
    </row>
    <row r="381" spans="4:8" x14ac:dyDescent="0.2">
      <c r="D381" s="22">
        <v>45487</v>
      </c>
      <c r="E381">
        <v>188</v>
      </c>
      <c r="F381">
        <v>189</v>
      </c>
      <c r="H381">
        <v>186</v>
      </c>
    </row>
    <row r="382" spans="4:8" x14ac:dyDescent="0.2">
      <c r="D382" s="22">
        <v>45488</v>
      </c>
      <c r="E382">
        <v>210</v>
      </c>
      <c r="F382">
        <v>189</v>
      </c>
      <c r="H382">
        <v>191</v>
      </c>
    </row>
    <row r="383" spans="4:8" x14ac:dyDescent="0.2">
      <c r="D383" s="22">
        <v>45489</v>
      </c>
      <c r="E383">
        <v>191</v>
      </c>
      <c r="F383">
        <v>189</v>
      </c>
      <c r="H383">
        <v>192</v>
      </c>
    </row>
    <row r="384" spans="4:8" x14ac:dyDescent="0.2">
      <c r="D384" s="22">
        <v>45490</v>
      </c>
      <c r="E384">
        <v>196</v>
      </c>
      <c r="F384">
        <v>189</v>
      </c>
      <c r="H384">
        <v>192</v>
      </c>
    </row>
    <row r="385" spans="4:8" x14ac:dyDescent="0.2">
      <c r="D385" s="22">
        <v>45491</v>
      </c>
      <c r="E385">
        <v>201</v>
      </c>
      <c r="F385">
        <v>189</v>
      </c>
      <c r="H385">
        <v>192</v>
      </c>
    </row>
    <row r="386" spans="4:8" x14ac:dyDescent="0.2">
      <c r="D386" s="22">
        <v>45492</v>
      </c>
      <c r="E386">
        <v>172</v>
      </c>
      <c r="F386">
        <v>189</v>
      </c>
      <c r="H386">
        <v>194</v>
      </c>
    </row>
    <row r="387" spans="4:8" x14ac:dyDescent="0.2">
      <c r="D387" s="22">
        <v>45493</v>
      </c>
      <c r="E387">
        <v>202</v>
      </c>
      <c r="F387">
        <v>189</v>
      </c>
      <c r="H387">
        <v>194</v>
      </c>
    </row>
    <row r="388" spans="4:8" x14ac:dyDescent="0.2">
      <c r="D388" s="22">
        <v>45494</v>
      </c>
      <c r="E388">
        <v>203</v>
      </c>
      <c r="F388">
        <v>189</v>
      </c>
      <c r="H388">
        <v>196</v>
      </c>
    </row>
    <row r="389" spans="4:8" x14ac:dyDescent="0.2">
      <c r="D389" s="22">
        <v>45495</v>
      </c>
      <c r="E389">
        <v>199</v>
      </c>
      <c r="F389">
        <v>190</v>
      </c>
      <c r="H389">
        <v>195</v>
      </c>
    </row>
    <row r="390" spans="4:8" x14ac:dyDescent="0.2">
      <c r="D390" s="22">
        <v>45496</v>
      </c>
      <c r="E390">
        <v>194</v>
      </c>
      <c r="F390">
        <v>190</v>
      </c>
      <c r="H390">
        <v>195</v>
      </c>
    </row>
    <row r="391" spans="4:8" x14ac:dyDescent="0.2">
      <c r="D391" s="22">
        <v>45497</v>
      </c>
      <c r="E391">
        <v>195</v>
      </c>
      <c r="F391">
        <v>190</v>
      </c>
      <c r="H391">
        <v>195</v>
      </c>
    </row>
    <row r="392" spans="4:8" x14ac:dyDescent="0.2">
      <c r="D392" s="22">
        <v>45498</v>
      </c>
      <c r="E392">
        <v>197</v>
      </c>
      <c r="F392">
        <v>190</v>
      </c>
      <c r="H392">
        <v>195</v>
      </c>
    </row>
    <row r="393" spans="4:8" x14ac:dyDescent="0.2">
      <c r="D393" s="22">
        <v>45499</v>
      </c>
      <c r="E393">
        <v>191</v>
      </c>
      <c r="F393">
        <v>190</v>
      </c>
      <c r="H393">
        <v>197</v>
      </c>
    </row>
    <row r="394" spans="4:8" x14ac:dyDescent="0.2">
      <c r="D394" s="22">
        <v>45500</v>
      </c>
      <c r="E394">
        <v>213</v>
      </c>
      <c r="F394">
        <v>190</v>
      </c>
      <c r="H394">
        <v>199</v>
      </c>
    </row>
    <row r="395" spans="4:8" x14ac:dyDescent="0.2">
      <c r="D395" s="22">
        <v>45501</v>
      </c>
      <c r="E395">
        <v>219</v>
      </c>
      <c r="F395">
        <v>190</v>
      </c>
      <c r="H395">
        <v>201</v>
      </c>
    </row>
    <row r="396" spans="4:8" x14ac:dyDescent="0.2">
      <c r="D396" s="22">
        <v>45502</v>
      </c>
      <c r="E396">
        <v>179</v>
      </c>
      <c r="F396">
        <v>190</v>
      </c>
      <c r="H396">
        <v>198</v>
      </c>
    </row>
    <row r="397" spans="4:8" x14ac:dyDescent="0.2">
      <c r="D397" s="22">
        <v>45503</v>
      </c>
      <c r="E397">
        <v>162</v>
      </c>
      <c r="F397">
        <v>190</v>
      </c>
      <c r="H397">
        <v>194</v>
      </c>
    </row>
    <row r="398" spans="4:8" x14ac:dyDescent="0.2">
      <c r="D398" s="22">
        <v>45504</v>
      </c>
      <c r="E398">
        <v>208</v>
      </c>
      <c r="F398">
        <v>190</v>
      </c>
      <c r="H398">
        <v>196</v>
      </c>
    </row>
    <row r="399" spans="4:8" x14ac:dyDescent="0.2">
      <c r="D399" s="22">
        <v>45505</v>
      </c>
      <c r="E399">
        <v>181</v>
      </c>
      <c r="F399">
        <v>190</v>
      </c>
      <c r="H399">
        <v>193</v>
      </c>
    </row>
    <row r="400" spans="4:8" x14ac:dyDescent="0.2">
      <c r="D400" s="22">
        <v>45506</v>
      </c>
      <c r="E400">
        <v>187</v>
      </c>
      <c r="F400">
        <v>190</v>
      </c>
      <c r="H400">
        <v>193</v>
      </c>
    </row>
    <row r="401" spans="4:8" x14ac:dyDescent="0.2">
      <c r="D401" s="22">
        <v>45507</v>
      </c>
      <c r="E401">
        <v>163</v>
      </c>
      <c r="F401">
        <v>190</v>
      </c>
      <c r="H401">
        <v>186</v>
      </c>
    </row>
    <row r="402" spans="4:8" x14ac:dyDescent="0.2">
      <c r="D402" s="22">
        <v>45508</v>
      </c>
      <c r="E402">
        <v>195</v>
      </c>
      <c r="F402">
        <v>190</v>
      </c>
      <c r="H402">
        <v>182</v>
      </c>
    </row>
    <row r="403" spans="4:8" x14ac:dyDescent="0.2">
      <c r="D403" s="22">
        <v>45509</v>
      </c>
      <c r="E403">
        <v>213</v>
      </c>
      <c r="F403">
        <v>190</v>
      </c>
      <c r="H403">
        <v>187</v>
      </c>
    </row>
    <row r="404" spans="4:8" x14ac:dyDescent="0.2">
      <c r="D404" s="22">
        <v>45510</v>
      </c>
      <c r="E404">
        <v>192</v>
      </c>
      <c r="F404">
        <v>190</v>
      </c>
      <c r="H404">
        <v>191</v>
      </c>
    </row>
    <row r="405" spans="4:8" x14ac:dyDescent="0.2">
      <c r="D405" s="22">
        <v>45511</v>
      </c>
      <c r="E405">
        <v>190</v>
      </c>
      <c r="F405">
        <v>190</v>
      </c>
      <c r="H405">
        <v>189</v>
      </c>
    </row>
    <row r="406" spans="4:8" x14ac:dyDescent="0.2">
      <c r="D406" s="22">
        <v>45512</v>
      </c>
      <c r="E406">
        <v>179</v>
      </c>
      <c r="F406">
        <v>190</v>
      </c>
      <c r="H406">
        <v>188</v>
      </c>
    </row>
    <row r="407" spans="4:8" x14ac:dyDescent="0.2">
      <c r="D407" s="22">
        <v>45513</v>
      </c>
      <c r="E407">
        <v>189</v>
      </c>
      <c r="F407">
        <v>190</v>
      </c>
      <c r="H407">
        <v>189</v>
      </c>
    </row>
    <row r="408" spans="4:8" x14ac:dyDescent="0.2">
      <c r="D408" s="22">
        <v>45514</v>
      </c>
      <c r="E408">
        <v>172</v>
      </c>
      <c r="F408">
        <v>190</v>
      </c>
      <c r="H408">
        <v>190</v>
      </c>
    </row>
    <row r="409" spans="4:8" x14ac:dyDescent="0.2">
      <c r="D409" s="22">
        <v>45515</v>
      </c>
      <c r="E409">
        <v>203</v>
      </c>
      <c r="F409">
        <v>190</v>
      </c>
      <c r="H409">
        <v>191</v>
      </c>
    </row>
    <row r="410" spans="4:8" x14ac:dyDescent="0.2">
      <c r="D410" s="22">
        <v>45516</v>
      </c>
      <c r="E410">
        <v>206</v>
      </c>
      <c r="F410">
        <v>190</v>
      </c>
      <c r="H410">
        <v>190</v>
      </c>
    </row>
    <row r="411" spans="4:8" x14ac:dyDescent="0.2">
      <c r="D411" s="22">
        <v>45517</v>
      </c>
      <c r="E411">
        <v>204</v>
      </c>
      <c r="F411">
        <v>190</v>
      </c>
      <c r="H411">
        <v>192</v>
      </c>
    </row>
    <row r="412" spans="4:8" x14ac:dyDescent="0.2">
      <c r="D412" s="22">
        <v>45518</v>
      </c>
      <c r="E412">
        <v>204</v>
      </c>
      <c r="F412">
        <v>190</v>
      </c>
      <c r="H412">
        <v>194</v>
      </c>
    </row>
    <row r="413" spans="4:8" x14ac:dyDescent="0.2">
      <c r="D413" s="22">
        <v>45519</v>
      </c>
      <c r="E413">
        <v>220</v>
      </c>
      <c r="F413">
        <v>190</v>
      </c>
      <c r="H413">
        <v>200</v>
      </c>
    </row>
    <row r="414" spans="4:8" x14ac:dyDescent="0.2">
      <c r="D414" s="22">
        <v>45520</v>
      </c>
      <c r="E414">
        <v>197</v>
      </c>
      <c r="F414">
        <v>190</v>
      </c>
      <c r="H414">
        <v>201</v>
      </c>
    </row>
    <row r="415" spans="4:8" x14ac:dyDescent="0.2">
      <c r="D415" s="22">
        <v>45521</v>
      </c>
      <c r="E415">
        <v>179</v>
      </c>
      <c r="F415">
        <v>190</v>
      </c>
      <c r="H415">
        <v>202</v>
      </c>
    </row>
    <row r="416" spans="4:8" x14ac:dyDescent="0.2">
      <c r="D416" s="22">
        <v>45522</v>
      </c>
      <c r="E416">
        <v>205</v>
      </c>
      <c r="F416">
        <v>190</v>
      </c>
      <c r="H416">
        <v>202</v>
      </c>
    </row>
    <row r="417" spans="4:8" x14ac:dyDescent="0.2">
      <c r="D417" s="22">
        <v>45523</v>
      </c>
      <c r="E417">
        <v>187</v>
      </c>
      <c r="F417">
        <v>190</v>
      </c>
      <c r="H417">
        <v>199</v>
      </c>
    </row>
    <row r="418" spans="4:8" x14ac:dyDescent="0.2">
      <c r="D418" s="22">
        <v>45524</v>
      </c>
      <c r="E418">
        <v>224</v>
      </c>
      <c r="F418">
        <v>190</v>
      </c>
      <c r="H418">
        <v>202</v>
      </c>
    </row>
    <row r="419" spans="4:8" x14ac:dyDescent="0.2">
      <c r="D419" s="22">
        <v>45525</v>
      </c>
      <c r="E419">
        <v>183</v>
      </c>
      <c r="F419">
        <v>190</v>
      </c>
      <c r="H419">
        <v>199</v>
      </c>
    </row>
    <row r="420" spans="4:8" x14ac:dyDescent="0.2">
      <c r="D420" s="22">
        <v>45526</v>
      </c>
      <c r="E420">
        <v>176</v>
      </c>
      <c r="F420">
        <v>190</v>
      </c>
      <c r="H420">
        <v>193</v>
      </c>
    </row>
    <row r="421" spans="4:8" x14ac:dyDescent="0.2">
      <c r="D421" s="22">
        <v>45527</v>
      </c>
      <c r="E421">
        <v>179</v>
      </c>
      <c r="F421">
        <v>190</v>
      </c>
      <c r="H421">
        <v>190</v>
      </c>
    </row>
    <row r="422" spans="4:8" x14ac:dyDescent="0.2">
      <c r="D422" s="22">
        <v>45528</v>
      </c>
      <c r="E422">
        <v>181</v>
      </c>
      <c r="F422">
        <v>190</v>
      </c>
      <c r="H422">
        <v>191</v>
      </c>
    </row>
    <row r="423" spans="4:8" x14ac:dyDescent="0.2">
      <c r="D423" s="22">
        <v>45529</v>
      </c>
      <c r="E423">
        <v>190</v>
      </c>
      <c r="F423">
        <v>190</v>
      </c>
      <c r="H423">
        <v>189</v>
      </c>
    </row>
    <row r="424" spans="4:8" x14ac:dyDescent="0.2">
      <c r="D424" s="22">
        <v>45530</v>
      </c>
      <c r="E424">
        <v>188</v>
      </c>
      <c r="F424">
        <v>190</v>
      </c>
      <c r="H424">
        <v>189</v>
      </c>
    </row>
    <row r="425" spans="4:8" x14ac:dyDescent="0.2">
      <c r="D425" s="22">
        <v>45531</v>
      </c>
      <c r="E425">
        <v>216</v>
      </c>
      <c r="F425">
        <v>190</v>
      </c>
      <c r="H425">
        <v>188</v>
      </c>
    </row>
    <row r="426" spans="4:8" x14ac:dyDescent="0.2">
      <c r="D426" s="22">
        <v>45532</v>
      </c>
      <c r="E426">
        <v>165</v>
      </c>
      <c r="F426">
        <v>190</v>
      </c>
      <c r="H426">
        <v>185</v>
      </c>
    </row>
    <row r="427" spans="4:8" x14ac:dyDescent="0.2">
      <c r="D427" s="22">
        <v>45533</v>
      </c>
      <c r="E427">
        <v>192</v>
      </c>
      <c r="F427">
        <v>190</v>
      </c>
      <c r="H427">
        <v>187</v>
      </c>
    </row>
    <row r="428" spans="4:8" x14ac:dyDescent="0.2">
      <c r="D428" s="22">
        <v>45534</v>
      </c>
      <c r="E428">
        <v>187</v>
      </c>
      <c r="F428">
        <v>190</v>
      </c>
      <c r="H428">
        <v>188</v>
      </c>
    </row>
    <row r="429" spans="4:8" x14ac:dyDescent="0.2">
      <c r="D429" s="22">
        <v>45535</v>
      </c>
      <c r="E429">
        <v>195</v>
      </c>
      <c r="F429">
        <v>190</v>
      </c>
      <c r="H429">
        <v>190</v>
      </c>
    </row>
    <row r="430" spans="4:8" x14ac:dyDescent="0.2">
      <c r="D430" s="22">
        <v>45536</v>
      </c>
      <c r="E430">
        <v>201</v>
      </c>
      <c r="F430">
        <v>190</v>
      </c>
      <c r="H430">
        <v>192</v>
      </c>
    </row>
    <row r="431" spans="4:8" x14ac:dyDescent="0.2">
      <c r="D431" s="22">
        <v>45537</v>
      </c>
      <c r="E431">
        <v>183</v>
      </c>
      <c r="F431">
        <v>190</v>
      </c>
      <c r="H431">
        <v>191</v>
      </c>
    </row>
    <row r="432" spans="4:8" x14ac:dyDescent="0.2">
      <c r="D432" s="22">
        <v>45538</v>
      </c>
      <c r="E432">
        <v>197</v>
      </c>
      <c r="F432">
        <v>190</v>
      </c>
      <c r="H432">
        <v>189</v>
      </c>
    </row>
    <row r="433" spans="4:8" x14ac:dyDescent="0.2">
      <c r="D433" s="22">
        <v>45539</v>
      </c>
      <c r="E433">
        <v>181</v>
      </c>
      <c r="F433">
        <v>190</v>
      </c>
      <c r="H433">
        <v>191</v>
      </c>
    </row>
    <row r="434" spans="4:8" x14ac:dyDescent="0.2">
      <c r="D434" s="22">
        <v>45540</v>
      </c>
      <c r="E434">
        <v>184</v>
      </c>
      <c r="F434">
        <v>190</v>
      </c>
      <c r="H434">
        <v>190</v>
      </c>
    </row>
    <row r="435" spans="4:8" x14ac:dyDescent="0.2">
      <c r="D435" s="22">
        <v>45541</v>
      </c>
      <c r="E435">
        <v>188</v>
      </c>
      <c r="F435">
        <v>190</v>
      </c>
      <c r="H435">
        <v>190</v>
      </c>
    </row>
    <row r="436" spans="4:8" x14ac:dyDescent="0.2">
      <c r="D436" s="22">
        <v>45542</v>
      </c>
      <c r="E436">
        <v>198</v>
      </c>
      <c r="F436">
        <v>190</v>
      </c>
      <c r="H436">
        <v>190</v>
      </c>
    </row>
    <row r="437" spans="4:8" x14ac:dyDescent="0.2">
      <c r="D437" s="22">
        <v>45543</v>
      </c>
      <c r="E437">
        <v>210</v>
      </c>
      <c r="F437">
        <v>190</v>
      </c>
      <c r="H437">
        <v>192</v>
      </c>
    </row>
    <row r="438" spans="4:8" x14ac:dyDescent="0.2">
      <c r="D438" s="22">
        <v>45544</v>
      </c>
      <c r="E438">
        <v>161</v>
      </c>
      <c r="F438">
        <v>190</v>
      </c>
      <c r="H438">
        <v>188</v>
      </c>
    </row>
    <row r="439" spans="4:8" x14ac:dyDescent="0.2">
      <c r="D439" s="22">
        <v>45545</v>
      </c>
      <c r="E439">
        <v>203</v>
      </c>
      <c r="F439">
        <v>190</v>
      </c>
      <c r="H439">
        <v>189</v>
      </c>
    </row>
    <row r="440" spans="4:8" x14ac:dyDescent="0.2">
      <c r="D440" s="22">
        <v>45546</v>
      </c>
      <c r="E440">
        <v>167</v>
      </c>
      <c r="F440">
        <v>190</v>
      </c>
      <c r="H440">
        <v>187</v>
      </c>
    </row>
    <row r="441" spans="4:8" x14ac:dyDescent="0.2">
      <c r="D441" s="22">
        <v>45547</v>
      </c>
      <c r="E441">
        <v>185</v>
      </c>
      <c r="F441">
        <v>190</v>
      </c>
      <c r="H441">
        <v>187</v>
      </c>
    </row>
    <row r="442" spans="4:8" x14ac:dyDescent="0.2">
      <c r="D442" s="22">
        <v>45548</v>
      </c>
      <c r="E442">
        <v>181</v>
      </c>
      <c r="F442">
        <v>190</v>
      </c>
      <c r="H442">
        <v>186</v>
      </c>
    </row>
    <row r="443" spans="4:8" x14ac:dyDescent="0.2">
      <c r="D443" s="22">
        <v>45549</v>
      </c>
      <c r="E443">
        <v>205</v>
      </c>
      <c r="F443">
        <v>190</v>
      </c>
      <c r="H443">
        <v>187</v>
      </c>
    </row>
    <row r="444" spans="4:8" x14ac:dyDescent="0.2">
      <c r="D444" s="22">
        <v>45550</v>
      </c>
      <c r="E444">
        <v>190</v>
      </c>
      <c r="F444">
        <v>190</v>
      </c>
      <c r="H444">
        <v>185</v>
      </c>
    </row>
    <row r="445" spans="4:8" x14ac:dyDescent="0.2">
      <c r="D445" s="22">
        <v>45551</v>
      </c>
      <c r="E445">
        <v>179</v>
      </c>
      <c r="F445">
        <v>190</v>
      </c>
      <c r="H445">
        <v>187</v>
      </c>
    </row>
    <row r="446" spans="4:8" x14ac:dyDescent="0.2">
      <c r="D446" s="22">
        <v>45552</v>
      </c>
      <c r="E446">
        <v>195</v>
      </c>
      <c r="F446">
        <v>190</v>
      </c>
      <c r="H446">
        <v>186</v>
      </c>
    </row>
    <row r="447" spans="4:8" x14ac:dyDescent="0.2">
      <c r="D447" s="22">
        <v>45553</v>
      </c>
      <c r="E447">
        <v>189</v>
      </c>
      <c r="F447">
        <v>190</v>
      </c>
      <c r="H447">
        <v>189</v>
      </c>
    </row>
    <row r="448" spans="4:8" x14ac:dyDescent="0.2">
      <c r="D448" s="22">
        <v>45554</v>
      </c>
      <c r="E448">
        <v>189</v>
      </c>
      <c r="F448">
        <v>190</v>
      </c>
      <c r="H448">
        <v>190</v>
      </c>
    </row>
    <row r="449" spans="4:8" x14ac:dyDescent="0.2">
      <c r="D449" s="22">
        <v>45555</v>
      </c>
      <c r="E449">
        <v>194</v>
      </c>
      <c r="F449">
        <v>190</v>
      </c>
      <c r="H449">
        <v>192</v>
      </c>
    </row>
    <row r="450" spans="4:8" x14ac:dyDescent="0.2">
      <c r="D450" s="22">
        <v>45556</v>
      </c>
      <c r="E450">
        <v>183</v>
      </c>
      <c r="F450">
        <v>190</v>
      </c>
      <c r="H450">
        <v>188</v>
      </c>
    </row>
    <row r="451" spans="4:8" x14ac:dyDescent="0.2">
      <c r="D451" s="22">
        <v>45557</v>
      </c>
      <c r="E451">
        <v>191</v>
      </c>
      <c r="F451">
        <v>190</v>
      </c>
      <c r="H451">
        <v>189</v>
      </c>
    </row>
    <row r="452" spans="4:8" x14ac:dyDescent="0.2">
      <c r="D452" s="22">
        <v>45558</v>
      </c>
      <c r="E452">
        <v>172</v>
      </c>
      <c r="F452">
        <v>190</v>
      </c>
      <c r="H452">
        <v>188</v>
      </c>
    </row>
    <row r="453" spans="4:8" x14ac:dyDescent="0.2">
      <c r="D453" s="22">
        <v>45559</v>
      </c>
      <c r="E453">
        <v>193</v>
      </c>
      <c r="F453">
        <v>190</v>
      </c>
      <c r="H453">
        <v>187</v>
      </c>
    </row>
    <row r="454" spans="4:8" x14ac:dyDescent="0.2">
      <c r="D454" s="22">
        <v>45560</v>
      </c>
      <c r="E454">
        <v>167</v>
      </c>
      <c r="F454">
        <v>190</v>
      </c>
      <c r="H454">
        <v>184</v>
      </c>
    </row>
    <row r="455" spans="4:8" x14ac:dyDescent="0.2">
      <c r="D455" s="22">
        <v>45561</v>
      </c>
      <c r="E455">
        <v>193</v>
      </c>
      <c r="F455">
        <v>190</v>
      </c>
      <c r="H455">
        <v>185</v>
      </c>
    </row>
    <row r="456" spans="4:8" x14ac:dyDescent="0.2">
      <c r="D456" s="22">
        <v>45562</v>
      </c>
      <c r="E456">
        <v>166</v>
      </c>
      <c r="F456">
        <v>190</v>
      </c>
      <c r="H456">
        <v>181</v>
      </c>
    </row>
    <row r="457" spans="4:8" x14ac:dyDescent="0.2">
      <c r="D457" s="22">
        <v>45563</v>
      </c>
      <c r="E457">
        <v>189</v>
      </c>
      <c r="F457">
        <v>190</v>
      </c>
      <c r="H457">
        <v>182</v>
      </c>
    </row>
    <row r="458" spans="4:8" x14ac:dyDescent="0.2">
      <c r="D458" s="22">
        <v>45564</v>
      </c>
      <c r="E458">
        <v>228</v>
      </c>
      <c r="F458">
        <v>190</v>
      </c>
      <c r="H458">
        <v>187</v>
      </c>
    </row>
    <row r="459" spans="4:8" x14ac:dyDescent="0.2">
      <c r="D459" s="22">
        <v>45565</v>
      </c>
      <c r="E459">
        <v>192</v>
      </c>
      <c r="F459">
        <v>190</v>
      </c>
      <c r="H459">
        <v>190</v>
      </c>
    </row>
    <row r="460" spans="4:8" x14ac:dyDescent="0.2">
      <c r="D460" s="22">
        <v>45566</v>
      </c>
      <c r="E460">
        <v>185</v>
      </c>
      <c r="F460">
        <v>190</v>
      </c>
      <c r="H460">
        <v>189</v>
      </c>
    </row>
    <row r="461" spans="4:8" x14ac:dyDescent="0.2">
      <c r="D461" s="22">
        <v>45567</v>
      </c>
      <c r="E461">
        <v>192</v>
      </c>
      <c r="F461">
        <v>190</v>
      </c>
      <c r="H461">
        <v>192</v>
      </c>
    </row>
    <row r="462" spans="4:8" x14ac:dyDescent="0.2">
      <c r="D462" s="22">
        <v>45568</v>
      </c>
      <c r="E462">
        <v>197</v>
      </c>
      <c r="F462">
        <v>190</v>
      </c>
      <c r="H462">
        <v>193</v>
      </c>
    </row>
    <row r="463" spans="4:8" x14ac:dyDescent="0.2">
      <c r="D463" s="22">
        <v>45569</v>
      </c>
      <c r="E463">
        <v>194</v>
      </c>
      <c r="F463">
        <v>190</v>
      </c>
      <c r="H463">
        <v>197</v>
      </c>
    </row>
    <row r="464" spans="4:8" x14ac:dyDescent="0.2">
      <c r="D464" s="22">
        <v>45570</v>
      </c>
      <c r="E464">
        <v>178</v>
      </c>
      <c r="F464">
        <v>190</v>
      </c>
      <c r="H464">
        <v>195</v>
      </c>
    </row>
    <row r="465" spans="4:8" x14ac:dyDescent="0.2">
      <c r="D465" s="22">
        <v>45571</v>
      </c>
      <c r="E465">
        <v>165</v>
      </c>
      <c r="F465">
        <v>190</v>
      </c>
      <c r="H465">
        <v>186</v>
      </c>
    </row>
    <row r="466" spans="4:8" x14ac:dyDescent="0.2">
      <c r="D466" s="22">
        <v>45572</v>
      </c>
      <c r="E466">
        <v>172</v>
      </c>
      <c r="F466">
        <v>190</v>
      </c>
      <c r="H466">
        <v>183</v>
      </c>
    </row>
    <row r="467" spans="4:8" x14ac:dyDescent="0.2">
      <c r="D467" s="22">
        <v>45573</v>
      </c>
      <c r="E467">
        <v>191</v>
      </c>
      <c r="F467">
        <v>190</v>
      </c>
      <c r="H467">
        <v>184</v>
      </c>
    </row>
    <row r="468" spans="4:8" x14ac:dyDescent="0.2">
      <c r="D468" s="22">
        <v>45574</v>
      </c>
      <c r="E468">
        <v>180</v>
      </c>
      <c r="F468">
        <v>190</v>
      </c>
      <c r="H468">
        <v>182</v>
      </c>
    </row>
    <row r="469" spans="4:8" x14ac:dyDescent="0.2">
      <c r="D469" s="22">
        <v>45575</v>
      </c>
      <c r="E469">
        <v>195</v>
      </c>
      <c r="F469">
        <v>190</v>
      </c>
      <c r="H469">
        <v>182</v>
      </c>
    </row>
    <row r="470" spans="4:8" x14ac:dyDescent="0.2">
      <c r="D470" s="22">
        <v>45576</v>
      </c>
      <c r="E470">
        <v>202</v>
      </c>
      <c r="F470">
        <v>190</v>
      </c>
      <c r="H470">
        <v>183</v>
      </c>
    </row>
    <row r="471" spans="4:8" x14ac:dyDescent="0.2">
      <c r="D471" s="22">
        <v>45577</v>
      </c>
      <c r="E471">
        <v>185</v>
      </c>
      <c r="F471">
        <v>190</v>
      </c>
      <c r="H471">
        <v>184</v>
      </c>
    </row>
    <row r="472" spans="4:8" x14ac:dyDescent="0.2">
      <c r="D472" s="22">
        <v>45578</v>
      </c>
      <c r="E472">
        <v>204</v>
      </c>
      <c r="F472">
        <v>190</v>
      </c>
      <c r="H472">
        <v>190</v>
      </c>
    </row>
    <row r="473" spans="4:8" x14ac:dyDescent="0.2">
      <c r="D473" s="22">
        <v>45579</v>
      </c>
      <c r="E473">
        <v>182</v>
      </c>
      <c r="F473">
        <v>190</v>
      </c>
      <c r="H473">
        <v>191</v>
      </c>
    </row>
    <row r="474" spans="4:8" x14ac:dyDescent="0.2">
      <c r="D474" s="22">
        <v>45580</v>
      </c>
      <c r="E474">
        <v>194</v>
      </c>
      <c r="F474">
        <v>190</v>
      </c>
      <c r="H474">
        <v>192</v>
      </c>
    </row>
    <row r="475" spans="4:8" x14ac:dyDescent="0.2">
      <c r="D475" s="22">
        <v>45581</v>
      </c>
      <c r="E475">
        <v>194</v>
      </c>
      <c r="F475">
        <v>190</v>
      </c>
      <c r="H475">
        <v>194</v>
      </c>
    </row>
    <row r="476" spans="4:8" x14ac:dyDescent="0.2">
      <c r="D476" s="22">
        <v>45582</v>
      </c>
      <c r="E476">
        <v>178</v>
      </c>
      <c r="F476">
        <v>190</v>
      </c>
      <c r="H476">
        <v>191</v>
      </c>
    </row>
    <row r="477" spans="4:8" x14ac:dyDescent="0.2">
      <c r="D477" s="22">
        <v>45583</v>
      </c>
      <c r="E477">
        <v>196</v>
      </c>
      <c r="F477">
        <v>190</v>
      </c>
      <c r="H477">
        <v>190</v>
      </c>
    </row>
    <row r="478" spans="4:8" x14ac:dyDescent="0.2">
      <c r="D478" s="22">
        <v>45584</v>
      </c>
      <c r="E478">
        <v>178</v>
      </c>
      <c r="F478">
        <v>190</v>
      </c>
      <c r="H478">
        <v>189</v>
      </c>
    </row>
    <row r="479" spans="4:8" x14ac:dyDescent="0.2">
      <c r="D479" s="22">
        <v>45585</v>
      </c>
      <c r="E479">
        <v>197</v>
      </c>
      <c r="F479">
        <v>190</v>
      </c>
      <c r="H479">
        <v>188</v>
      </c>
    </row>
    <row r="480" spans="4:8" x14ac:dyDescent="0.2">
      <c r="D480" s="22">
        <v>45586</v>
      </c>
      <c r="E480">
        <v>191</v>
      </c>
      <c r="F480">
        <v>190</v>
      </c>
      <c r="H480">
        <v>190</v>
      </c>
    </row>
    <row r="481" spans="4:8" x14ac:dyDescent="0.2">
      <c r="D481" s="22">
        <v>45587</v>
      </c>
      <c r="E481">
        <v>208</v>
      </c>
      <c r="F481">
        <v>190</v>
      </c>
      <c r="H481">
        <v>192</v>
      </c>
    </row>
    <row r="482" spans="4:8" x14ac:dyDescent="0.2">
      <c r="D482" s="22">
        <v>45588</v>
      </c>
      <c r="E482">
        <v>173</v>
      </c>
      <c r="F482">
        <v>190</v>
      </c>
      <c r="H482">
        <v>189</v>
      </c>
    </row>
    <row r="483" spans="4:8" x14ac:dyDescent="0.2">
      <c r="D483" s="22">
        <v>45589</v>
      </c>
      <c r="E483">
        <v>200</v>
      </c>
      <c r="F483">
        <v>190</v>
      </c>
      <c r="H483">
        <v>192</v>
      </c>
    </row>
    <row r="484" spans="4:8" x14ac:dyDescent="0.2">
      <c r="D484" s="22">
        <v>45590</v>
      </c>
      <c r="E484">
        <v>189</v>
      </c>
      <c r="F484">
        <v>190</v>
      </c>
      <c r="H484">
        <v>191</v>
      </c>
    </row>
    <row r="485" spans="4:8" x14ac:dyDescent="0.2">
      <c r="D485" s="22">
        <v>45591</v>
      </c>
      <c r="E485">
        <v>193</v>
      </c>
      <c r="F485">
        <v>190</v>
      </c>
      <c r="H485">
        <v>193</v>
      </c>
    </row>
    <row r="486" spans="4:8" x14ac:dyDescent="0.2">
      <c r="D486" s="22">
        <v>45592</v>
      </c>
      <c r="E486">
        <v>211</v>
      </c>
      <c r="F486">
        <v>190</v>
      </c>
      <c r="H486">
        <v>195</v>
      </c>
    </row>
    <row r="487" spans="4:8" x14ac:dyDescent="0.2">
      <c r="D487" s="22">
        <v>45593</v>
      </c>
      <c r="E487">
        <v>194</v>
      </c>
      <c r="F487">
        <v>190</v>
      </c>
      <c r="H487">
        <v>195</v>
      </c>
    </row>
    <row r="488" spans="4:8" x14ac:dyDescent="0.2">
      <c r="D488" s="22">
        <v>45594</v>
      </c>
      <c r="E488">
        <v>202</v>
      </c>
      <c r="F488">
        <v>190</v>
      </c>
      <c r="H488">
        <v>195</v>
      </c>
    </row>
    <row r="489" spans="4:8" x14ac:dyDescent="0.2">
      <c r="D489" s="22">
        <v>45595</v>
      </c>
      <c r="E489">
        <v>191</v>
      </c>
      <c r="F489">
        <v>190</v>
      </c>
      <c r="H489">
        <v>197</v>
      </c>
    </row>
    <row r="490" spans="4:8" x14ac:dyDescent="0.2">
      <c r="D490" s="22">
        <v>45596</v>
      </c>
      <c r="E490">
        <v>182</v>
      </c>
      <c r="F490">
        <v>190</v>
      </c>
      <c r="H490">
        <v>195</v>
      </c>
    </row>
    <row r="491" spans="4:8" x14ac:dyDescent="0.2">
      <c r="D491" s="22">
        <v>45597</v>
      </c>
      <c r="E491">
        <v>197</v>
      </c>
      <c r="F491">
        <v>190</v>
      </c>
      <c r="H491">
        <v>196</v>
      </c>
    </row>
    <row r="492" spans="4:8" x14ac:dyDescent="0.2">
      <c r="D492" s="22">
        <v>45598</v>
      </c>
      <c r="E492">
        <v>193</v>
      </c>
      <c r="F492">
        <v>190</v>
      </c>
      <c r="H492">
        <v>196</v>
      </c>
    </row>
    <row r="493" spans="4:8" x14ac:dyDescent="0.2">
      <c r="D493" s="22">
        <v>45599</v>
      </c>
      <c r="E493">
        <v>170</v>
      </c>
      <c r="F493">
        <v>190</v>
      </c>
      <c r="H493">
        <v>190</v>
      </c>
    </row>
    <row r="494" spans="4:8" x14ac:dyDescent="0.2">
      <c r="D494" s="22">
        <v>45600</v>
      </c>
      <c r="E494">
        <v>153</v>
      </c>
      <c r="F494">
        <v>190</v>
      </c>
      <c r="H494">
        <v>184</v>
      </c>
    </row>
    <row r="495" spans="4:8" x14ac:dyDescent="0.2">
      <c r="D495" s="22">
        <v>45601</v>
      </c>
      <c r="E495">
        <v>179</v>
      </c>
      <c r="F495">
        <v>190</v>
      </c>
      <c r="H495">
        <v>181</v>
      </c>
    </row>
    <row r="496" spans="4:8" x14ac:dyDescent="0.2">
      <c r="D496" s="22">
        <v>45602</v>
      </c>
      <c r="E496">
        <v>203</v>
      </c>
      <c r="F496">
        <v>190</v>
      </c>
      <c r="H496">
        <v>182</v>
      </c>
    </row>
    <row r="497" spans="4:8" x14ac:dyDescent="0.2">
      <c r="D497" s="22">
        <v>45603</v>
      </c>
      <c r="E497">
        <v>201</v>
      </c>
      <c r="F497">
        <v>190</v>
      </c>
      <c r="H497">
        <v>185</v>
      </c>
    </row>
    <row r="498" spans="4:8" x14ac:dyDescent="0.2">
      <c r="D498" s="22">
        <v>45604</v>
      </c>
      <c r="E498">
        <v>176</v>
      </c>
      <c r="F498">
        <v>190</v>
      </c>
      <c r="H498">
        <v>182</v>
      </c>
    </row>
    <row r="499" spans="4:8" x14ac:dyDescent="0.2">
      <c r="D499" s="22">
        <v>45605</v>
      </c>
      <c r="E499">
        <v>194</v>
      </c>
      <c r="F499">
        <v>190</v>
      </c>
      <c r="H499">
        <v>182</v>
      </c>
    </row>
    <row r="500" spans="4:8" x14ac:dyDescent="0.2">
      <c r="D500" s="22">
        <v>45606</v>
      </c>
      <c r="E500">
        <v>187</v>
      </c>
      <c r="F500">
        <v>190</v>
      </c>
      <c r="H500">
        <v>185</v>
      </c>
    </row>
    <row r="501" spans="4:8" x14ac:dyDescent="0.2">
      <c r="D501" s="22">
        <v>45607</v>
      </c>
      <c r="E501">
        <v>191</v>
      </c>
      <c r="F501">
        <v>190</v>
      </c>
      <c r="H501">
        <v>190</v>
      </c>
    </row>
    <row r="502" spans="4:8" x14ac:dyDescent="0.2">
      <c r="D502" s="22">
        <v>45608</v>
      </c>
      <c r="E502">
        <v>187</v>
      </c>
      <c r="F502">
        <v>190</v>
      </c>
      <c r="H502">
        <v>191</v>
      </c>
    </row>
    <row r="503" spans="4:8" x14ac:dyDescent="0.2">
      <c r="D503" s="22">
        <v>45609</v>
      </c>
      <c r="E503">
        <v>171</v>
      </c>
      <c r="F503">
        <v>190</v>
      </c>
      <c r="H503">
        <v>187</v>
      </c>
    </row>
    <row r="504" spans="4:8" x14ac:dyDescent="0.2">
      <c r="D504" s="22">
        <v>45610</v>
      </c>
      <c r="E504">
        <v>219</v>
      </c>
      <c r="F504">
        <v>190</v>
      </c>
      <c r="H504">
        <v>189</v>
      </c>
    </row>
    <row r="505" spans="4:8" x14ac:dyDescent="0.2">
      <c r="D505" s="22">
        <v>45611</v>
      </c>
      <c r="E505">
        <v>159</v>
      </c>
      <c r="F505">
        <v>190</v>
      </c>
      <c r="H505">
        <v>187</v>
      </c>
    </row>
    <row r="506" spans="4:8" x14ac:dyDescent="0.2">
      <c r="D506" s="22">
        <v>45612</v>
      </c>
      <c r="E506">
        <v>195</v>
      </c>
      <c r="F506">
        <v>190</v>
      </c>
      <c r="H506">
        <v>187</v>
      </c>
    </row>
    <row r="507" spans="4:8" x14ac:dyDescent="0.2">
      <c r="D507" s="22">
        <v>45613</v>
      </c>
      <c r="E507">
        <v>187</v>
      </c>
      <c r="F507">
        <v>190</v>
      </c>
      <c r="H507">
        <v>187</v>
      </c>
    </row>
    <row r="508" spans="4:8" x14ac:dyDescent="0.2">
      <c r="D508" s="22">
        <v>45614</v>
      </c>
      <c r="E508">
        <v>183</v>
      </c>
      <c r="F508">
        <v>190</v>
      </c>
      <c r="H508">
        <v>186</v>
      </c>
    </row>
    <row r="509" spans="4:8" x14ac:dyDescent="0.2">
      <c r="D509" s="22">
        <v>45615</v>
      </c>
      <c r="E509">
        <v>190</v>
      </c>
      <c r="F509">
        <v>190</v>
      </c>
      <c r="H509">
        <v>186</v>
      </c>
    </row>
    <row r="510" spans="4:8" x14ac:dyDescent="0.2">
      <c r="D510" s="22">
        <v>45616</v>
      </c>
      <c r="E510">
        <v>179</v>
      </c>
      <c r="F510">
        <v>190</v>
      </c>
      <c r="H510">
        <v>187</v>
      </c>
    </row>
    <row r="511" spans="4:8" x14ac:dyDescent="0.2">
      <c r="D511" s="22">
        <v>45617</v>
      </c>
      <c r="E511">
        <v>211</v>
      </c>
      <c r="F511">
        <v>190</v>
      </c>
      <c r="H511">
        <v>186</v>
      </c>
    </row>
    <row r="512" spans="4:8" x14ac:dyDescent="0.2">
      <c r="D512" s="22">
        <v>45618</v>
      </c>
      <c r="E512">
        <v>182</v>
      </c>
      <c r="F512">
        <v>190</v>
      </c>
      <c r="H512">
        <v>190</v>
      </c>
    </row>
    <row r="513" spans="4:8" x14ac:dyDescent="0.2">
      <c r="D513" s="22">
        <v>45619</v>
      </c>
      <c r="E513">
        <v>187</v>
      </c>
      <c r="F513">
        <v>190</v>
      </c>
      <c r="H513">
        <v>188</v>
      </c>
    </row>
    <row r="514" spans="4:8" x14ac:dyDescent="0.2">
      <c r="D514" s="22">
        <v>45620</v>
      </c>
      <c r="E514">
        <v>201</v>
      </c>
      <c r="F514">
        <v>190</v>
      </c>
      <c r="H514">
        <v>190</v>
      </c>
    </row>
    <row r="515" spans="4:8" x14ac:dyDescent="0.2">
      <c r="D515" s="22">
        <v>45621</v>
      </c>
      <c r="E515">
        <v>190</v>
      </c>
      <c r="F515">
        <v>190</v>
      </c>
      <c r="H515">
        <v>191</v>
      </c>
    </row>
    <row r="516" spans="4:8" x14ac:dyDescent="0.2">
      <c r="D516" s="22">
        <v>45622</v>
      </c>
      <c r="E516">
        <v>185</v>
      </c>
      <c r="F516">
        <v>190</v>
      </c>
      <c r="H516">
        <v>191</v>
      </c>
    </row>
    <row r="517" spans="4:8" x14ac:dyDescent="0.2">
      <c r="D517" s="22">
        <v>45623</v>
      </c>
      <c r="E517">
        <v>199</v>
      </c>
      <c r="F517">
        <v>190</v>
      </c>
      <c r="H517">
        <v>194</v>
      </c>
    </row>
    <row r="518" spans="4:8" x14ac:dyDescent="0.2">
      <c r="D518" s="22">
        <v>45624</v>
      </c>
      <c r="E518">
        <v>190</v>
      </c>
      <c r="F518">
        <v>190</v>
      </c>
      <c r="H518">
        <v>191</v>
      </c>
    </row>
    <row r="519" spans="4:8" x14ac:dyDescent="0.2">
      <c r="D519" s="22">
        <v>45625</v>
      </c>
      <c r="E519">
        <v>202</v>
      </c>
      <c r="F519">
        <v>190</v>
      </c>
      <c r="H519">
        <v>193</v>
      </c>
    </row>
    <row r="520" spans="4:8" x14ac:dyDescent="0.2">
      <c r="D520" s="22">
        <v>45626</v>
      </c>
      <c r="E520">
        <v>176</v>
      </c>
      <c r="F520">
        <v>190</v>
      </c>
      <c r="H520">
        <v>192</v>
      </c>
    </row>
    <row r="521" spans="4:8" x14ac:dyDescent="0.2">
      <c r="D521" s="22">
        <v>45627</v>
      </c>
      <c r="E521">
        <v>176</v>
      </c>
      <c r="F521">
        <v>190</v>
      </c>
      <c r="H521">
        <v>188</v>
      </c>
    </row>
    <row r="522" spans="4:8" x14ac:dyDescent="0.2">
      <c r="D522" s="22">
        <v>45628</v>
      </c>
      <c r="E522">
        <v>186</v>
      </c>
      <c r="F522">
        <v>190</v>
      </c>
      <c r="H522">
        <v>188</v>
      </c>
    </row>
    <row r="523" spans="4:8" x14ac:dyDescent="0.2">
      <c r="D523" s="22">
        <v>45629</v>
      </c>
      <c r="E523">
        <v>196</v>
      </c>
      <c r="F523">
        <v>190</v>
      </c>
      <c r="H523">
        <v>189</v>
      </c>
    </row>
    <row r="524" spans="4:8" x14ac:dyDescent="0.2">
      <c r="D524" s="22">
        <v>45630</v>
      </c>
      <c r="E524">
        <v>184</v>
      </c>
      <c r="F524">
        <v>190</v>
      </c>
      <c r="H524">
        <v>187</v>
      </c>
    </row>
    <row r="525" spans="4:8" x14ac:dyDescent="0.2">
      <c r="D525" s="22">
        <v>45631</v>
      </c>
      <c r="E525">
        <v>215</v>
      </c>
      <c r="F525">
        <v>190</v>
      </c>
      <c r="H525">
        <v>191</v>
      </c>
    </row>
    <row r="526" spans="4:8" x14ac:dyDescent="0.2">
      <c r="D526" s="22">
        <v>45632</v>
      </c>
      <c r="E526">
        <v>185</v>
      </c>
      <c r="F526">
        <v>190</v>
      </c>
      <c r="H526">
        <v>188</v>
      </c>
    </row>
    <row r="527" spans="4:8" x14ac:dyDescent="0.2">
      <c r="D527" s="22">
        <v>45633</v>
      </c>
      <c r="E527">
        <v>185</v>
      </c>
      <c r="F527">
        <v>190</v>
      </c>
      <c r="H527">
        <v>190</v>
      </c>
    </row>
    <row r="528" spans="4:8" x14ac:dyDescent="0.2">
      <c r="D528" s="22">
        <v>45634</v>
      </c>
      <c r="E528">
        <v>196</v>
      </c>
      <c r="F528">
        <v>190</v>
      </c>
      <c r="H528">
        <v>192</v>
      </c>
    </row>
    <row r="529" spans="4:8" x14ac:dyDescent="0.2">
      <c r="D529" s="22">
        <v>45635</v>
      </c>
      <c r="E529">
        <v>202</v>
      </c>
      <c r="F529">
        <v>190</v>
      </c>
      <c r="H529">
        <v>195</v>
      </c>
    </row>
    <row r="530" spans="4:8" x14ac:dyDescent="0.2">
      <c r="D530" s="22">
        <v>45636</v>
      </c>
      <c r="E530">
        <v>186</v>
      </c>
      <c r="F530">
        <v>190</v>
      </c>
      <c r="H530">
        <v>193</v>
      </c>
    </row>
    <row r="531" spans="4:8" x14ac:dyDescent="0.2">
      <c r="D531" s="22">
        <v>45637</v>
      </c>
      <c r="E531">
        <v>181</v>
      </c>
      <c r="F531">
        <v>190</v>
      </c>
      <c r="H531">
        <v>193</v>
      </c>
    </row>
    <row r="532" spans="4:8" x14ac:dyDescent="0.2">
      <c r="D532" s="22">
        <v>45638</v>
      </c>
      <c r="E532">
        <v>171</v>
      </c>
      <c r="F532">
        <v>190</v>
      </c>
      <c r="H532">
        <v>187</v>
      </c>
    </row>
    <row r="533" spans="4:8" x14ac:dyDescent="0.2">
      <c r="D533" s="22">
        <v>45639</v>
      </c>
      <c r="E533">
        <v>173</v>
      </c>
      <c r="F533">
        <v>190</v>
      </c>
      <c r="H533">
        <v>185</v>
      </c>
    </row>
    <row r="534" spans="4:8" x14ac:dyDescent="0.2">
      <c r="D534" s="22">
        <v>45640</v>
      </c>
      <c r="E534">
        <v>171</v>
      </c>
      <c r="F534">
        <v>190</v>
      </c>
      <c r="H534">
        <v>183</v>
      </c>
    </row>
    <row r="535" spans="4:8" x14ac:dyDescent="0.2">
      <c r="D535" s="22">
        <v>45641</v>
      </c>
      <c r="E535">
        <v>182</v>
      </c>
      <c r="F535">
        <v>190</v>
      </c>
      <c r="H535">
        <v>181</v>
      </c>
    </row>
    <row r="536" spans="4:8" x14ac:dyDescent="0.2">
      <c r="D536" s="22">
        <v>45642</v>
      </c>
      <c r="E536">
        <v>199</v>
      </c>
      <c r="F536">
        <v>190</v>
      </c>
      <c r="H536">
        <v>180</v>
      </c>
    </row>
    <row r="537" spans="4:8" x14ac:dyDescent="0.2">
      <c r="D537" s="22">
        <v>45643</v>
      </c>
      <c r="E537">
        <v>181</v>
      </c>
      <c r="F537">
        <v>190</v>
      </c>
      <c r="H537">
        <v>180</v>
      </c>
    </row>
    <row r="538" spans="4:8" x14ac:dyDescent="0.2">
      <c r="D538" s="22">
        <v>45644</v>
      </c>
      <c r="E538">
        <v>205</v>
      </c>
      <c r="F538">
        <v>190</v>
      </c>
      <c r="H538">
        <v>183</v>
      </c>
    </row>
    <row r="539" spans="4:8" x14ac:dyDescent="0.2">
      <c r="D539" s="22">
        <v>45645</v>
      </c>
      <c r="E539">
        <v>176</v>
      </c>
      <c r="F539">
        <v>190</v>
      </c>
      <c r="H539">
        <v>184</v>
      </c>
    </row>
    <row r="540" spans="4:8" x14ac:dyDescent="0.2">
      <c r="D540" s="22">
        <v>45646</v>
      </c>
      <c r="E540">
        <v>182</v>
      </c>
      <c r="F540">
        <v>190</v>
      </c>
      <c r="H540">
        <v>185</v>
      </c>
    </row>
    <row r="541" spans="4:8" x14ac:dyDescent="0.2">
      <c r="D541" s="22">
        <v>45647</v>
      </c>
      <c r="E541">
        <v>177</v>
      </c>
      <c r="F541">
        <v>189</v>
      </c>
      <c r="H541">
        <v>186</v>
      </c>
    </row>
    <row r="542" spans="4:8" x14ac:dyDescent="0.2">
      <c r="D542" s="22">
        <v>45648</v>
      </c>
      <c r="E542">
        <v>195</v>
      </c>
      <c r="F542">
        <v>190</v>
      </c>
      <c r="H542">
        <v>188</v>
      </c>
    </row>
    <row r="543" spans="4:8" x14ac:dyDescent="0.2">
      <c r="D543" s="22">
        <v>45649</v>
      </c>
      <c r="E543">
        <v>201</v>
      </c>
      <c r="F543">
        <v>190</v>
      </c>
      <c r="H543">
        <v>188</v>
      </c>
    </row>
    <row r="544" spans="4:8" x14ac:dyDescent="0.2">
      <c r="D544" s="22">
        <v>45650</v>
      </c>
      <c r="E544">
        <v>174</v>
      </c>
      <c r="F544">
        <v>189</v>
      </c>
      <c r="H544">
        <v>187</v>
      </c>
    </row>
    <row r="545" spans="4:8" x14ac:dyDescent="0.2">
      <c r="D545" s="22">
        <v>45651</v>
      </c>
      <c r="E545">
        <v>189</v>
      </c>
      <c r="F545">
        <v>189</v>
      </c>
      <c r="H545">
        <v>185</v>
      </c>
    </row>
    <row r="546" spans="4:8" x14ac:dyDescent="0.2">
      <c r="D546" s="22">
        <v>45652</v>
      </c>
      <c r="E546">
        <v>174</v>
      </c>
      <c r="F546">
        <v>189</v>
      </c>
      <c r="H546">
        <v>185</v>
      </c>
    </row>
    <row r="547" spans="4:8" x14ac:dyDescent="0.2">
      <c r="D547" s="22">
        <v>45653</v>
      </c>
      <c r="E547">
        <v>189</v>
      </c>
      <c r="F547">
        <v>189</v>
      </c>
      <c r="H547">
        <v>186</v>
      </c>
    </row>
    <row r="548" spans="4:8" x14ac:dyDescent="0.2">
      <c r="D548" s="22">
        <v>45654</v>
      </c>
      <c r="E548">
        <v>172</v>
      </c>
      <c r="F548">
        <v>189</v>
      </c>
      <c r="H548">
        <v>185</v>
      </c>
    </row>
    <row r="549" spans="4:8" x14ac:dyDescent="0.2">
      <c r="D549" s="22">
        <v>45655</v>
      </c>
      <c r="E549">
        <v>177</v>
      </c>
      <c r="F549">
        <v>189</v>
      </c>
      <c r="H549">
        <v>182</v>
      </c>
    </row>
    <row r="550" spans="4:8" x14ac:dyDescent="0.2">
      <c r="D550" s="22">
        <v>45656</v>
      </c>
      <c r="E550">
        <v>195</v>
      </c>
      <c r="F550">
        <v>189</v>
      </c>
      <c r="H550">
        <v>181</v>
      </c>
    </row>
    <row r="551" spans="4:8" x14ac:dyDescent="0.2">
      <c r="D551" s="22">
        <v>45657</v>
      </c>
      <c r="E551">
        <v>207</v>
      </c>
      <c r="F551">
        <v>189</v>
      </c>
      <c r="H551">
        <v>186</v>
      </c>
    </row>
    <row r="552" spans="4:8" x14ac:dyDescent="0.2">
      <c r="D552" s="22">
        <v>45658</v>
      </c>
      <c r="E552">
        <v>203</v>
      </c>
      <c r="F552">
        <v>189</v>
      </c>
      <c r="H552">
        <v>188</v>
      </c>
    </row>
    <row r="553" spans="4:8" x14ac:dyDescent="0.2">
      <c r="D553" s="22">
        <v>45659</v>
      </c>
      <c r="E553">
        <v>214</v>
      </c>
      <c r="F553">
        <v>190</v>
      </c>
      <c r="H553">
        <v>194</v>
      </c>
    </row>
    <row r="554" spans="4:8" x14ac:dyDescent="0.2">
      <c r="D554" s="22">
        <v>45660</v>
      </c>
      <c r="E554">
        <v>171</v>
      </c>
      <c r="F554">
        <v>189</v>
      </c>
      <c r="H554">
        <v>191</v>
      </c>
    </row>
    <row r="555" spans="4:8" x14ac:dyDescent="0.2">
      <c r="D555" s="22">
        <v>45661</v>
      </c>
      <c r="E555">
        <v>213</v>
      </c>
      <c r="F555">
        <v>190</v>
      </c>
      <c r="H555">
        <v>197</v>
      </c>
    </row>
    <row r="556" spans="4:8" x14ac:dyDescent="0.2">
      <c r="D556" s="22">
        <v>45662</v>
      </c>
      <c r="E556">
        <v>173</v>
      </c>
      <c r="F556">
        <v>190</v>
      </c>
      <c r="H556">
        <v>197</v>
      </c>
    </row>
    <row r="557" spans="4:8" x14ac:dyDescent="0.2">
      <c r="D557" s="22">
        <v>45663</v>
      </c>
      <c r="E557">
        <v>180</v>
      </c>
      <c r="F557">
        <v>189</v>
      </c>
      <c r="H557">
        <v>194</v>
      </c>
    </row>
    <row r="558" spans="4:8" x14ac:dyDescent="0.2">
      <c r="D558" s="22">
        <v>45664</v>
      </c>
      <c r="E558">
        <v>198</v>
      </c>
      <c r="F558">
        <v>189</v>
      </c>
      <c r="H558">
        <v>193</v>
      </c>
    </row>
    <row r="559" spans="4:8" x14ac:dyDescent="0.2">
      <c r="D559" s="22">
        <v>45665</v>
      </c>
      <c r="E559">
        <v>183</v>
      </c>
      <c r="F559">
        <v>189</v>
      </c>
      <c r="H559">
        <v>190</v>
      </c>
    </row>
    <row r="560" spans="4:8" x14ac:dyDescent="0.2">
      <c r="D560" s="22">
        <v>45666</v>
      </c>
      <c r="E560">
        <v>188</v>
      </c>
      <c r="F560">
        <v>189</v>
      </c>
      <c r="H560">
        <v>187</v>
      </c>
    </row>
    <row r="561" spans="4:8" x14ac:dyDescent="0.2">
      <c r="D561" s="22">
        <v>45667</v>
      </c>
      <c r="E561">
        <v>186</v>
      </c>
      <c r="F561">
        <v>189</v>
      </c>
      <c r="H561">
        <v>189</v>
      </c>
    </row>
    <row r="562" spans="4:8" x14ac:dyDescent="0.2">
      <c r="D562" s="22">
        <v>45668</v>
      </c>
      <c r="E562">
        <v>178</v>
      </c>
      <c r="F562">
        <v>189</v>
      </c>
      <c r="H562">
        <v>184</v>
      </c>
    </row>
    <row r="563" spans="4:8" x14ac:dyDescent="0.2">
      <c r="D563" s="22">
        <v>45669</v>
      </c>
      <c r="E563">
        <v>187</v>
      </c>
      <c r="F563">
        <v>189</v>
      </c>
      <c r="H563">
        <v>186</v>
      </c>
    </row>
    <row r="564" spans="4:8" x14ac:dyDescent="0.2">
      <c r="D564" s="22">
        <v>45670</v>
      </c>
      <c r="E564">
        <v>215</v>
      </c>
      <c r="F564">
        <v>189</v>
      </c>
      <c r="H564">
        <v>191</v>
      </c>
    </row>
    <row r="565" spans="4:8" x14ac:dyDescent="0.2">
      <c r="D565" s="22">
        <v>45671</v>
      </c>
      <c r="E565">
        <v>201</v>
      </c>
      <c r="F565">
        <v>190</v>
      </c>
      <c r="H565">
        <v>191</v>
      </c>
    </row>
    <row r="566" spans="4:8" x14ac:dyDescent="0.2">
      <c r="D566" s="22">
        <v>45672</v>
      </c>
      <c r="E566">
        <v>213</v>
      </c>
      <c r="F566">
        <v>190</v>
      </c>
      <c r="H566">
        <v>195</v>
      </c>
    </row>
    <row r="567" spans="4:8" x14ac:dyDescent="0.2">
      <c r="D567" s="22">
        <v>45673</v>
      </c>
      <c r="E567">
        <v>174</v>
      </c>
      <c r="F567">
        <v>190</v>
      </c>
      <c r="H567">
        <v>193</v>
      </c>
    </row>
    <row r="568" spans="4:8" x14ac:dyDescent="0.2">
      <c r="D568" s="22">
        <v>45674</v>
      </c>
      <c r="E568">
        <v>203</v>
      </c>
      <c r="F568">
        <v>190</v>
      </c>
      <c r="H568">
        <v>196</v>
      </c>
    </row>
    <row r="569" spans="4:8" x14ac:dyDescent="0.2">
      <c r="D569" s="22">
        <v>45675</v>
      </c>
      <c r="E569">
        <v>195</v>
      </c>
      <c r="F569">
        <v>190</v>
      </c>
      <c r="H569">
        <v>198</v>
      </c>
    </row>
    <row r="570" spans="4:8" x14ac:dyDescent="0.2">
      <c r="D570" s="22">
        <v>45676</v>
      </c>
      <c r="E570">
        <v>192</v>
      </c>
      <c r="F570">
        <v>190</v>
      </c>
      <c r="H570">
        <v>199</v>
      </c>
    </row>
    <row r="571" spans="4:8" x14ac:dyDescent="0.2">
      <c r="D571" s="22">
        <v>45677</v>
      </c>
      <c r="E571">
        <v>199</v>
      </c>
      <c r="F571">
        <v>190</v>
      </c>
      <c r="H571">
        <v>197</v>
      </c>
    </row>
    <row r="572" spans="4:8" x14ac:dyDescent="0.2">
      <c r="D572" s="22">
        <v>45678</v>
      </c>
      <c r="E572">
        <v>200</v>
      </c>
      <c r="F572">
        <v>190</v>
      </c>
      <c r="H572">
        <v>197</v>
      </c>
    </row>
    <row r="573" spans="4:8" x14ac:dyDescent="0.2">
      <c r="D573" s="22">
        <v>45679</v>
      </c>
      <c r="E573">
        <v>210</v>
      </c>
      <c r="F573">
        <v>190</v>
      </c>
      <c r="H573">
        <v>196</v>
      </c>
    </row>
    <row r="574" spans="4:8" x14ac:dyDescent="0.2">
      <c r="D574" s="22">
        <v>45680</v>
      </c>
      <c r="E574">
        <v>199</v>
      </c>
      <c r="F574">
        <v>190</v>
      </c>
      <c r="H574">
        <v>200</v>
      </c>
    </row>
    <row r="575" spans="4:8" x14ac:dyDescent="0.2">
      <c r="D575" s="22">
        <v>45681</v>
      </c>
      <c r="E575">
        <v>176</v>
      </c>
      <c r="F575">
        <v>190</v>
      </c>
      <c r="H575">
        <v>196</v>
      </c>
    </row>
    <row r="576" spans="4:8" x14ac:dyDescent="0.2">
      <c r="D576" s="22">
        <v>45682</v>
      </c>
      <c r="E576">
        <v>170</v>
      </c>
      <c r="F576">
        <v>190</v>
      </c>
      <c r="H576">
        <v>192</v>
      </c>
    </row>
    <row r="577" spans="4:8" x14ac:dyDescent="0.2">
      <c r="D577" s="22">
        <v>45683</v>
      </c>
      <c r="E577">
        <v>164</v>
      </c>
      <c r="F577">
        <v>190</v>
      </c>
      <c r="H577">
        <v>188</v>
      </c>
    </row>
    <row r="578" spans="4:8" x14ac:dyDescent="0.2">
      <c r="D578" s="22">
        <v>45684</v>
      </c>
      <c r="E578">
        <v>193</v>
      </c>
      <c r="F578">
        <v>190</v>
      </c>
      <c r="H578">
        <v>187</v>
      </c>
    </row>
    <row r="579" spans="4:8" x14ac:dyDescent="0.2">
      <c r="D579" s="22">
        <v>45685</v>
      </c>
      <c r="E579">
        <v>206</v>
      </c>
      <c r="F579">
        <v>190</v>
      </c>
      <c r="H579">
        <v>188</v>
      </c>
    </row>
    <row r="580" spans="4:8" x14ac:dyDescent="0.2">
      <c r="D580" s="22">
        <v>45686</v>
      </c>
      <c r="E580">
        <v>220</v>
      </c>
      <c r="F580">
        <v>190</v>
      </c>
      <c r="H580">
        <v>190</v>
      </c>
    </row>
    <row r="581" spans="4:8" x14ac:dyDescent="0.2">
      <c r="D581" s="22">
        <v>45687</v>
      </c>
      <c r="E581">
        <v>188</v>
      </c>
      <c r="F581">
        <v>190</v>
      </c>
      <c r="H581">
        <v>188</v>
      </c>
    </row>
    <row r="582" spans="4:8" x14ac:dyDescent="0.2">
      <c r="D582" s="22">
        <v>45688</v>
      </c>
      <c r="E582">
        <v>172</v>
      </c>
      <c r="F582">
        <v>190</v>
      </c>
      <c r="H582">
        <v>188</v>
      </c>
    </row>
    <row r="583" spans="4:8" x14ac:dyDescent="0.2">
      <c r="D583" s="22">
        <v>45689</v>
      </c>
      <c r="E583">
        <v>166</v>
      </c>
      <c r="F583">
        <v>190</v>
      </c>
      <c r="H583">
        <v>187</v>
      </c>
    </row>
    <row r="584" spans="4:8" x14ac:dyDescent="0.2">
      <c r="D584" s="22">
        <v>45690</v>
      </c>
      <c r="E584">
        <v>193</v>
      </c>
      <c r="F584">
        <v>190</v>
      </c>
      <c r="H584">
        <v>191</v>
      </c>
    </row>
    <row r="585" spans="4:8" x14ac:dyDescent="0.2">
      <c r="D585" s="22">
        <v>45691</v>
      </c>
      <c r="E585">
        <v>206</v>
      </c>
      <c r="F585">
        <v>190</v>
      </c>
      <c r="H585">
        <v>193</v>
      </c>
    </row>
    <row r="586" spans="4:8" x14ac:dyDescent="0.2">
      <c r="D586" s="22">
        <v>45692</v>
      </c>
      <c r="E586">
        <v>198</v>
      </c>
      <c r="F586">
        <v>190</v>
      </c>
      <c r="H586">
        <v>192</v>
      </c>
    </row>
    <row r="587" spans="4:8" x14ac:dyDescent="0.2">
      <c r="D587" s="22">
        <v>45693</v>
      </c>
      <c r="E587">
        <v>193</v>
      </c>
      <c r="F587">
        <v>190</v>
      </c>
      <c r="H587">
        <v>188</v>
      </c>
    </row>
    <row r="588" spans="4:8" x14ac:dyDescent="0.2">
      <c r="D588" s="22">
        <v>45694</v>
      </c>
      <c r="E588">
        <v>198</v>
      </c>
      <c r="F588">
        <v>190</v>
      </c>
      <c r="H588">
        <v>189</v>
      </c>
    </row>
    <row r="589" spans="4:8" x14ac:dyDescent="0.2">
      <c r="D589" s="22">
        <v>45695</v>
      </c>
      <c r="E589">
        <v>197</v>
      </c>
      <c r="F589">
        <v>190</v>
      </c>
      <c r="H589">
        <v>193</v>
      </c>
    </row>
    <row r="590" spans="4:8" x14ac:dyDescent="0.2">
      <c r="D590" s="22">
        <v>45696</v>
      </c>
      <c r="E590">
        <v>193</v>
      </c>
      <c r="F590">
        <v>190</v>
      </c>
      <c r="H590">
        <v>197</v>
      </c>
    </row>
    <row r="591" spans="4:8" x14ac:dyDescent="0.2">
      <c r="D591" s="22">
        <v>45697</v>
      </c>
      <c r="E591">
        <v>183</v>
      </c>
      <c r="F591">
        <v>190</v>
      </c>
      <c r="H591">
        <v>195</v>
      </c>
    </row>
    <row r="592" spans="4:8" x14ac:dyDescent="0.2">
      <c r="D592" s="22">
        <v>45698</v>
      </c>
      <c r="E592">
        <v>208</v>
      </c>
      <c r="F592">
        <v>190</v>
      </c>
      <c r="H592">
        <v>196</v>
      </c>
    </row>
    <row r="593" spans="4:8" x14ac:dyDescent="0.2">
      <c r="D593" s="22">
        <v>45699</v>
      </c>
      <c r="E593">
        <v>223</v>
      </c>
      <c r="F593">
        <v>190</v>
      </c>
      <c r="H593">
        <v>199</v>
      </c>
    </row>
    <row r="594" spans="4:8" x14ac:dyDescent="0.2">
      <c r="D594" s="22">
        <v>45700</v>
      </c>
      <c r="E594">
        <v>184</v>
      </c>
      <c r="F594">
        <v>190</v>
      </c>
      <c r="H594">
        <v>198</v>
      </c>
    </row>
    <row r="595" spans="4:8" x14ac:dyDescent="0.2">
      <c r="D595" s="22">
        <v>45701</v>
      </c>
      <c r="E595">
        <v>176</v>
      </c>
      <c r="F595">
        <v>190</v>
      </c>
      <c r="H595">
        <v>195</v>
      </c>
    </row>
    <row r="596" spans="4:8" x14ac:dyDescent="0.2">
      <c r="D596" s="22">
        <v>45702</v>
      </c>
      <c r="E596">
        <v>182</v>
      </c>
      <c r="F596">
        <v>190</v>
      </c>
      <c r="H596">
        <v>193</v>
      </c>
    </row>
    <row r="597" spans="4:8" x14ac:dyDescent="0.2">
      <c r="D597" s="22">
        <v>45703</v>
      </c>
      <c r="E597">
        <v>177</v>
      </c>
      <c r="F597">
        <v>190</v>
      </c>
      <c r="H597">
        <v>190</v>
      </c>
    </row>
    <row r="598" spans="4:8" x14ac:dyDescent="0.2">
      <c r="D598" s="22">
        <v>45704</v>
      </c>
      <c r="E598">
        <v>207</v>
      </c>
      <c r="F598">
        <v>190</v>
      </c>
      <c r="H598">
        <v>194</v>
      </c>
    </row>
    <row r="599" spans="4:8" x14ac:dyDescent="0.2">
      <c r="D599" s="22">
        <v>45705</v>
      </c>
      <c r="E599">
        <v>208</v>
      </c>
      <c r="F599">
        <v>190</v>
      </c>
      <c r="H599">
        <v>194</v>
      </c>
    </row>
    <row r="600" spans="4:8" x14ac:dyDescent="0.2">
      <c r="D600" s="22">
        <v>45706</v>
      </c>
      <c r="E600">
        <v>195</v>
      </c>
      <c r="F600">
        <v>190</v>
      </c>
      <c r="H600">
        <v>190</v>
      </c>
    </row>
    <row r="601" spans="4:8" x14ac:dyDescent="0.2">
      <c r="D601" s="22">
        <v>45707</v>
      </c>
      <c r="E601">
        <v>181</v>
      </c>
      <c r="F601">
        <v>190</v>
      </c>
      <c r="H601">
        <v>189</v>
      </c>
    </row>
    <row r="602" spans="4:8" x14ac:dyDescent="0.2">
      <c r="D602" s="22">
        <v>45708</v>
      </c>
      <c r="E602">
        <v>175</v>
      </c>
      <c r="F602">
        <v>190</v>
      </c>
      <c r="H602">
        <v>189</v>
      </c>
    </row>
    <row r="603" spans="4:8" x14ac:dyDescent="0.2">
      <c r="D603" s="22">
        <v>45709</v>
      </c>
      <c r="E603">
        <v>176</v>
      </c>
      <c r="F603">
        <v>190</v>
      </c>
      <c r="H603">
        <v>188</v>
      </c>
    </row>
    <row r="604" spans="4:8" x14ac:dyDescent="0.2">
      <c r="D604" s="22">
        <v>45710</v>
      </c>
      <c r="E604">
        <v>200</v>
      </c>
      <c r="F604">
        <v>190</v>
      </c>
      <c r="H604">
        <v>192</v>
      </c>
    </row>
    <row r="605" spans="4:8" x14ac:dyDescent="0.2">
      <c r="D605" s="22">
        <v>45711</v>
      </c>
      <c r="E605">
        <v>194</v>
      </c>
      <c r="F605">
        <v>190</v>
      </c>
      <c r="H605">
        <v>190</v>
      </c>
    </row>
    <row r="606" spans="4:8" x14ac:dyDescent="0.2">
      <c r="D606" s="22">
        <v>45712</v>
      </c>
      <c r="E606">
        <v>198</v>
      </c>
      <c r="F606">
        <v>190</v>
      </c>
      <c r="H606">
        <v>188</v>
      </c>
    </row>
    <row r="607" spans="4:8" x14ac:dyDescent="0.2">
      <c r="D607" s="22">
        <v>45713</v>
      </c>
      <c r="E607">
        <v>191</v>
      </c>
      <c r="F607">
        <v>190</v>
      </c>
      <c r="H607">
        <v>188</v>
      </c>
    </row>
    <row r="608" spans="4:8" x14ac:dyDescent="0.2">
      <c r="D608" s="22">
        <v>45714</v>
      </c>
      <c r="E608">
        <v>228</v>
      </c>
      <c r="F608">
        <v>190</v>
      </c>
      <c r="H608">
        <v>195</v>
      </c>
    </row>
    <row r="609" spans="4:8" x14ac:dyDescent="0.2">
      <c r="D609" s="22">
        <v>45715</v>
      </c>
      <c r="E609">
        <v>218</v>
      </c>
      <c r="F609">
        <v>190</v>
      </c>
      <c r="H609">
        <v>201</v>
      </c>
    </row>
    <row r="610" spans="4:8" x14ac:dyDescent="0.2">
      <c r="D610" s="22">
        <v>45716</v>
      </c>
      <c r="E610">
        <v>197</v>
      </c>
      <c r="F610">
        <v>190</v>
      </c>
      <c r="H610">
        <v>204</v>
      </c>
    </row>
    <row r="611" spans="4:8" x14ac:dyDescent="0.2">
      <c r="D611" s="22">
        <v>45717</v>
      </c>
      <c r="E611">
        <v>188</v>
      </c>
      <c r="F611">
        <v>190</v>
      </c>
      <c r="H611">
        <v>202</v>
      </c>
    </row>
    <row r="612" spans="4:8" x14ac:dyDescent="0.2">
      <c r="D612" s="22">
        <v>45718</v>
      </c>
      <c r="E612">
        <v>201</v>
      </c>
      <c r="F612">
        <v>190</v>
      </c>
      <c r="H612">
        <v>203</v>
      </c>
    </row>
    <row r="613" spans="4:8" x14ac:dyDescent="0.2">
      <c r="D613" s="22">
        <v>45719</v>
      </c>
      <c r="E613">
        <v>188</v>
      </c>
      <c r="F613">
        <v>190</v>
      </c>
      <c r="H613">
        <v>202</v>
      </c>
    </row>
    <row r="614" spans="4:8" x14ac:dyDescent="0.2">
      <c r="D614" s="22">
        <v>45720</v>
      </c>
      <c r="E614">
        <v>188</v>
      </c>
      <c r="F614">
        <v>190</v>
      </c>
      <c r="H614">
        <v>201</v>
      </c>
    </row>
    <row r="615" spans="4:8" x14ac:dyDescent="0.2">
      <c r="D615" s="22">
        <v>45721</v>
      </c>
      <c r="E615">
        <v>191</v>
      </c>
      <c r="F615">
        <v>190</v>
      </c>
      <c r="H615">
        <v>196</v>
      </c>
    </row>
    <row r="616" spans="4:8" x14ac:dyDescent="0.2">
      <c r="D616" s="22">
        <v>45722</v>
      </c>
      <c r="E616">
        <v>197</v>
      </c>
      <c r="F616">
        <v>190</v>
      </c>
      <c r="H616">
        <v>193</v>
      </c>
    </row>
    <row r="617" spans="4:8" x14ac:dyDescent="0.2">
      <c r="D617" s="22">
        <v>45723</v>
      </c>
      <c r="E617">
        <v>184</v>
      </c>
      <c r="F617">
        <v>190</v>
      </c>
      <c r="H617">
        <v>191</v>
      </c>
    </row>
    <row r="618" spans="4:8" x14ac:dyDescent="0.2">
      <c r="D618" s="22">
        <v>45724</v>
      </c>
      <c r="E618">
        <v>195</v>
      </c>
      <c r="F618">
        <v>190</v>
      </c>
      <c r="H618">
        <v>192</v>
      </c>
    </row>
    <row r="619" spans="4:8" x14ac:dyDescent="0.2">
      <c r="D619" s="22">
        <v>45725</v>
      </c>
      <c r="E619">
        <v>183</v>
      </c>
      <c r="F619">
        <v>190</v>
      </c>
      <c r="H619">
        <v>189</v>
      </c>
    </row>
    <row r="620" spans="4:8" x14ac:dyDescent="0.2">
      <c r="D620" s="22">
        <v>45726</v>
      </c>
      <c r="E620">
        <v>208</v>
      </c>
      <c r="F620">
        <v>190</v>
      </c>
      <c r="H620">
        <v>192</v>
      </c>
    </row>
    <row r="621" spans="4:8" x14ac:dyDescent="0.2">
      <c r="D621" s="22">
        <v>45727</v>
      </c>
      <c r="E621">
        <v>188</v>
      </c>
      <c r="F621">
        <v>190</v>
      </c>
      <c r="H621">
        <v>192</v>
      </c>
    </row>
    <row r="622" spans="4:8" x14ac:dyDescent="0.2">
      <c r="D622" s="22">
        <v>45728</v>
      </c>
      <c r="E622">
        <v>206</v>
      </c>
      <c r="F622">
        <v>190</v>
      </c>
      <c r="H622">
        <v>194</v>
      </c>
    </row>
    <row r="623" spans="4:8" x14ac:dyDescent="0.2">
      <c r="D623" s="22">
        <v>45729</v>
      </c>
      <c r="E623">
        <v>212</v>
      </c>
      <c r="F623">
        <v>190</v>
      </c>
      <c r="H623">
        <v>197</v>
      </c>
    </row>
    <row r="624" spans="4:8" x14ac:dyDescent="0.2">
      <c r="D624" s="22">
        <v>45730</v>
      </c>
      <c r="E624">
        <v>178</v>
      </c>
      <c r="F624">
        <v>190</v>
      </c>
      <c r="H624">
        <v>196</v>
      </c>
    </row>
    <row r="625" spans="4:8" x14ac:dyDescent="0.2">
      <c r="D625" s="22">
        <v>45731</v>
      </c>
      <c r="E625">
        <v>199</v>
      </c>
      <c r="F625">
        <v>190</v>
      </c>
      <c r="H625">
        <v>196</v>
      </c>
    </row>
    <row r="626" spans="4:8" x14ac:dyDescent="0.2">
      <c r="D626" s="22">
        <v>45732</v>
      </c>
      <c r="E626">
        <v>181</v>
      </c>
      <c r="F626">
        <v>190</v>
      </c>
      <c r="H626">
        <v>196</v>
      </c>
    </row>
    <row r="627" spans="4:8" x14ac:dyDescent="0.2">
      <c r="D627" s="22">
        <v>45733</v>
      </c>
      <c r="E627">
        <v>203</v>
      </c>
      <c r="F627">
        <v>190</v>
      </c>
      <c r="H627">
        <v>195</v>
      </c>
    </row>
    <row r="628" spans="4:8" x14ac:dyDescent="0.2">
      <c r="D628" s="22">
        <v>45734</v>
      </c>
      <c r="E628">
        <v>222</v>
      </c>
      <c r="F628">
        <v>190</v>
      </c>
      <c r="H628">
        <v>200</v>
      </c>
    </row>
    <row r="629" spans="4:8" x14ac:dyDescent="0.2">
      <c r="D629" s="22">
        <v>45735</v>
      </c>
      <c r="E629">
        <v>186</v>
      </c>
      <c r="F629">
        <v>190</v>
      </c>
      <c r="H629">
        <v>197</v>
      </c>
    </row>
    <row r="630" spans="4:8" x14ac:dyDescent="0.2">
      <c r="D630" s="22">
        <v>45736</v>
      </c>
      <c r="E630">
        <v>182</v>
      </c>
      <c r="F630">
        <v>190</v>
      </c>
      <c r="H630">
        <v>193</v>
      </c>
    </row>
    <row r="631" spans="4:8" x14ac:dyDescent="0.2">
      <c r="D631" s="22">
        <v>45737</v>
      </c>
      <c r="E631">
        <v>159</v>
      </c>
      <c r="F631">
        <v>190</v>
      </c>
      <c r="H631">
        <v>190</v>
      </c>
    </row>
    <row r="632" spans="4:8" x14ac:dyDescent="0.2">
      <c r="D632" s="22">
        <v>45738</v>
      </c>
      <c r="E632">
        <v>172</v>
      </c>
      <c r="F632">
        <v>190</v>
      </c>
      <c r="H632">
        <v>186</v>
      </c>
    </row>
    <row r="633" spans="4:8" x14ac:dyDescent="0.2">
      <c r="D633" s="22">
        <v>45739</v>
      </c>
      <c r="E633">
        <v>175</v>
      </c>
      <c r="F633">
        <v>190</v>
      </c>
      <c r="H633">
        <v>186</v>
      </c>
    </row>
    <row r="634" spans="4:8" x14ac:dyDescent="0.2">
      <c r="D634" s="22">
        <v>45740</v>
      </c>
      <c r="E634">
        <v>187</v>
      </c>
      <c r="F634">
        <v>190</v>
      </c>
      <c r="H634">
        <v>183</v>
      </c>
    </row>
    <row r="635" spans="4:8" x14ac:dyDescent="0.2">
      <c r="D635" s="22">
        <v>45741</v>
      </c>
      <c r="E635">
        <v>176</v>
      </c>
      <c r="F635">
        <v>190</v>
      </c>
      <c r="H635">
        <v>177</v>
      </c>
    </row>
    <row r="636" spans="4:8" x14ac:dyDescent="0.2">
      <c r="D636" s="22">
        <v>45742</v>
      </c>
      <c r="E636">
        <v>186</v>
      </c>
      <c r="F636">
        <v>190</v>
      </c>
      <c r="H636">
        <v>177</v>
      </c>
    </row>
    <row r="637" spans="4:8" x14ac:dyDescent="0.2">
      <c r="D637" s="22">
        <v>45743</v>
      </c>
      <c r="E637">
        <v>207</v>
      </c>
      <c r="F637">
        <v>190</v>
      </c>
      <c r="H637">
        <v>180</v>
      </c>
    </row>
    <row r="638" spans="4:8" x14ac:dyDescent="0.2">
      <c r="D638" s="22">
        <v>45744</v>
      </c>
      <c r="E638">
        <v>196</v>
      </c>
      <c r="F638">
        <v>190</v>
      </c>
      <c r="H638">
        <v>186</v>
      </c>
    </row>
    <row r="639" spans="4:8" x14ac:dyDescent="0.2">
      <c r="D639" s="22">
        <v>45745</v>
      </c>
      <c r="E639">
        <v>199</v>
      </c>
      <c r="F639">
        <v>190</v>
      </c>
      <c r="H639">
        <v>189</v>
      </c>
    </row>
    <row r="640" spans="4:8" x14ac:dyDescent="0.2">
      <c r="D640" s="22">
        <v>45746</v>
      </c>
      <c r="E640">
        <v>194</v>
      </c>
      <c r="F640">
        <v>190</v>
      </c>
      <c r="H640">
        <v>192</v>
      </c>
    </row>
    <row r="641" spans="4:8" x14ac:dyDescent="0.2">
      <c r="D641" s="22">
        <v>45747</v>
      </c>
      <c r="E641">
        <v>196</v>
      </c>
      <c r="F641">
        <v>190</v>
      </c>
      <c r="H641">
        <v>193</v>
      </c>
    </row>
    <row r="642" spans="4:8" x14ac:dyDescent="0.2">
      <c r="D642" s="22">
        <v>45748</v>
      </c>
      <c r="E642">
        <v>236</v>
      </c>
      <c r="F642">
        <v>190</v>
      </c>
      <c r="H642">
        <v>202</v>
      </c>
    </row>
    <row r="643" spans="4:8" x14ac:dyDescent="0.2">
      <c r="D643" s="22">
        <v>45749</v>
      </c>
      <c r="E643">
        <v>203</v>
      </c>
      <c r="F643">
        <v>190</v>
      </c>
      <c r="H643">
        <v>204</v>
      </c>
    </row>
    <row r="644" spans="4:8" x14ac:dyDescent="0.2">
      <c r="D644" s="22">
        <v>45750</v>
      </c>
      <c r="E644">
        <v>180</v>
      </c>
      <c r="F644">
        <v>190</v>
      </c>
      <c r="H644">
        <v>201</v>
      </c>
    </row>
    <row r="645" spans="4:8" x14ac:dyDescent="0.2">
      <c r="D645" s="22">
        <v>45751</v>
      </c>
      <c r="E645">
        <v>174</v>
      </c>
      <c r="F645">
        <v>190</v>
      </c>
      <c r="H645">
        <v>197</v>
      </c>
    </row>
    <row r="646" spans="4:8" x14ac:dyDescent="0.2">
      <c r="D646" s="22">
        <v>45752</v>
      </c>
      <c r="E646">
        <v>175</v>
      </c>
      <c r="F646">
        <v>190</v>
      </c>
      <c r="H646">
        <v>194</v>
      </c>
    </row>
    <row r="647" spans="4:8" x14ac:dyDescent="0.2">
      <c r="D647" s="22">
        <v>45753</v>
      </c>
      <c r="E647">
        <v>199</v>
      </c>
      <c r="F647">
        <v>190</v>
      </c>
      <c r="H647">
        <v>195</v>
      </c>
    </row>
    <row r="648" spans="4:8" x14ac:dyDescent="0.2">
      <c r="D648" s="22">
        <v>45754</v>
      </c>
      <c r="E648">
        <v>186</v>
      </c>
      <c r="F648">
        <v>190</v>
      </c>
      <c r="H648">
        <v>193</v>
      </c>
    </row>
    <row r="649" spans="4:8" x14ac:dyDescent="0.2">
      <c r="D649" s="22">
        <v>45755</v>
      </c>
      <c r="E649">
        <v>195</v>
      </c>
      <c r="F649">
        <v>190</v>
      </c>
      <c r="H649">
        <v>187</v>
      </c>
    </row>
    <row r="650" spans="4:8" x14ac:dyDescent="0.2">
      <c r="D650" s="22">
        <v>45756</v>
      </c>
      <c r="E650">
        <v>174</v>
      </c>
      <c r="F650">
        <v>190</v>
      </c>
      <c r="H650">
        <v>183</v>
      </c>
    </row>
    <row r="651" spans="4:8" x14ac:dyDescent="0.2">
      <c r="D651" s="22">
        <v>45757</v>
      </c>
      <c r="E651">
        <v>184</v>
      </c>
      <c r="F651">
        <v>190</v>
      </c>
      <c r="H651">
        <v>184</v>
      </c>
    </row>
    <row r="652" spans="4:8" x14ac:dyDescent="0.2">
      <c r="D652" s="22">
        <v>45758</v>
      </c>
      <c r="E652">
        <v>200</v>
      </c>
      <c r="F652">
        <v>190</v>
      </c>
      <c r="H652">
        <v>188</v>
      </c>
    </row>
    <row r="653" spans="4:8" x14ac:dyDescent="0.2">
      <c r="D653" s="22">
        <v>45759</v>
      </c>
      <c r="E653">
        <v>199</v>
      </c>
      <c r="F653">
        <v>190</v>
      </c>
      <c r="H653">
        <v>191</v>
      </c>
    </row>
    <row r="654" spans="4:8" x14ac:dyDescent="0.2">
      <c r="D654" s="22">
        <v>45760</v>
      </c>
      <c r="E654">
        <v>223</v>
      </c>
      <c r="F654">
        <v>190</v>
      </c>
      <c r="H654">
        <v>194</v>
      </c>
    </row>
    <row r="655" spans="4:8" x14ac:dyDescent="0.2">
      <c r="D655" s="22">
        <v>45761</v>
      </c>
      <c r="E655">
        <v>184</v>
      </c>
      <c r="F655">
        <v>190</v>
      </c>
      <c r="H655">
        <v>194</v>
      </c>
    </row>
    <row r="656" spans="4:8" x14ac:dyDescent="0.2">
      <c r="D656" s="22">
        <v>45762</v>
      </c>
      <c r="E656">
        <v>185</v>
      </c>
      <c r="F656">
        <v>190</v>
      </c>
      <c r="H656">
        <v>193</v>
      </c>
    </row>
    <row r="657" spans="4:8" x14ac:dyDescent="0.2">
      <c r="D657" s="22">
        <v>45763</v>
      </c>
      <c r="E657">
        <v>180</v>
      </c>
      <c r="F657">
        <v>190</v>
      </c>
      <c r="H657">
        <v>194</v>
      </c>
    </row>
    <row r="658" spans="4:8" x14ac:dyDescent="0.2">
      <c r="D658" s="22">
        <v>45764</v>
      </c>
      <c r="E658">
        <v>184</v>
      </c>
      <c r="F658">
        <v>190</v>
      </c>
      <c r="H658">
        <v>194</v>
      </c>
    </row>
    <row r="659" spans="4:8" x14ac:dyDescent="0.2">
      <c r="D659" s="22">
        <v>45765</v>
      </c>
      <c r="E659">
        <v>197</v>
      </c>
      <c r="F659">
        <v>190</v>
      </c>
      <c r="H659">
        <v>193</v>
      </c>
    </row>
    <row r="660" spans="4:8" x14ac:dyDescent="0.2">
      <c r="D660" s="22">
        <v>45766</v>
      </c>
      <c r="E660">
        <v>191</v>
      </c>
      <c r="F660">
        <v>190</v>
      </c>
      <c r="H660">
        <v>192</v>
      </c>
    </row>
    <row r="661" spans="4:8" x14ac:dyDescent="0.2">
      <c r="D661" s="22">
        <v>45767</v>
      </c>
      <c r="E661">
        <v>161</v>
      </c>
      <c r="F661">
        <v>190</v>
      </c>
      <c r="H661">
        <v>183</v>
      </c>
    </row>
    <row r="662" spans="4:8" x14ac:dyDescent="0.2">
      <c r="D662" s="22">
        <v>45768</v>
      </c>
      <c r="E662">
        <v>209</v>
      </c>
      <c r="F662">
        <v>190</v>
      </c>
      <c r="H662">
        <v>187</v>
      </c>
    </row>
    <row r="663" spans="4:8" x14ac:dyDescent="0.2">
      <c r="D663" s="22">
        <v>45769</v>
      </c>
      <c r="E663">
        <v>193</v>
      </c>
      <c r="F663">
        <v>190</v>
      </c>
      <c r="H663">
        <v>188</v>
      </c>
    </row>
    <row r="664" spans="4:8" x14ac:dyDescent="0.2">
      <c r="D664" s="22">
        <v>45770</v>
      </c>
      <c r="E664">
        <v>177</v>
      </c>
      <c r="F664">
        <v>190</v>
      </c>
      <c r="H664">
        <v>187</v>
      </c>
    </row>
    <row r="665" spans="4:8" x14ac:dyDescent="0.2">
      <c r="D665" s="22">
        <v>45771</v>
      </c>
      <c r="E665">
        <v>198</v>
      </c>
      <c r="F665">
        <v>190</v>
      </c>
      <c r="H665">
        <v>189</v>
      </c>
    </row>
    <row r="666" spans="4:8" x14ac:dyDescent="0.2">
      <c r="D666" s="22">
        <v>45772</v>
      </c>
      <c r="E666">
        <v>186</v>
      </c>
      <c r="F666">
        <v>190</v>
      </c>
      <c r="H666">
        <v>188</v>
      </c>
    </row>
    <row r="667" spans="4:8" x14ac:dyDescent="0.2">
      <c r="D667" s="22">
        <v>45773</v>
      </c>
      <c r="E667">
        <v>193</v>
      </c>
      <c r="F667">
        <v>190</v>
      </c>
      <c r="H667">
        <v>188</v>
      </c>
    </row>
    <row r="668" spans="4:8" x14ac:dyDescent="0.2">
      <c r="D668" s="22">
        <v>45774</v>
      </c>
      <c r="E668">
        <v>185</v>
      </c>
      <c r="F668">
        <v>190</v>
      </c>
      <c r="H668">
        <v>192</v>
      </c>
    </row>
    <row r="669" spans="4:8" x14ac:dyDescent="0.2">
      <c r="D669" s="22">
        <v>45775</v>
      </c>
      <c r="E669">
        <v>182</v>
      </c>
      <c r="F669">
        <v>190</v>
      </c>
      <c r="H669">
        <v>188</v>
      </c>
    </row>
    <row r="670" spans="4:8" x14ac:dyDescent="0.2">
      <c r="D670" s="22">
        <v>45776</v>
      </c>
      <c r="E670">
        <v>191</v>
      </c>
      <c r="F670">
        <v>190</v>
      </c>
      <c r="H670">
        <v>187</v>
      </c>
    </row>
    <row r="671" spans="4:8" x14ac:dyDescent="0.2">
      <c r="D671" s="22">
        <v>45777</v>
      </c>
      <c r="E671">
        <v>222</v>
      </c>
      <c r="F671">
        <v>190</v>
      </c>
      <c r="H671">
        <v>194</v>
      </c>
    </row>
    <row r="672" spans="4:8" x14ac:dyDescent="0.2">
      <c r="D672" s="22">
        <v>45778</v>
      </c>
      <c r="E672">
        <v>177</v>
      </c>
      <c r="F672">
        <v>190</v>
      </c>
      <c r="H672">
        <v>191</v>
      </c>
    </row>
    <row r="673" spans="4:8" x14ac:dyDescent="0.2">
      <c r="D673" s="22">
        <v>45779</v>
      </c>
      <c r="E673">
        <v>170</v>
      </c>
      <c r="F673">
        <v>190</v>
      </c>
      <c r="H673">
        <v>189</v>
      </c>
    </row>
    <row r="674" spans="4:8" x14ac:dyDescent="0.2">
      <c r="D674" s="22">
        <v>45780</v>
      </c>
      <c r="E674">
        <v>195</v>
      </c>
      <c r="F674">
        <v>190</v>
      </c>
      <c r="H674">
        <v>189</v>
      </c>
    </row>
    <row r="675" spans="4:8" x14ac:dyDescent="0.2">
      <c r="D675" s="22">
        <v>45781</v>
      </c>
      <c r="E675">
        <v>189</v>
      </c>
      <c r="F675">
        <v>190</v>
      </c>
      <c r="H675">
        <v>189</v>
      </c>
    </row>
    <row r="676" spans="4:8" x14ac:dyDescent="0.2">
      <c r="D676" s="22">
        <v>45782</v>
      </c>
      <c r="E676">
        <v>203</v>
      </c>
      <c r="F676">
        <v>190</v>
      </c>
      <c r="H676">
        <v>192</v>
      </c>
    </row>
    <row r="677" spans="4:8" x14ac:dyDescent="0.2">
      <c r="D677" s="22">
        <v>45783</v>
      </c>
      <c r="E677">
        <v>163</v>
      </c>
      <c r="F677">
        <v>190</v>
      </c>
      <c r="H677">
        <v>188</v>
      </c>
    </row>
    <row r="678" spans="4:8" x14ac:dyDescent="0.2">
      <c r="D678" s="22">
        <v>45784</v>
      </c>
      <c r="E678">
        <v>182</v>
      </c>
      <c r="F678">
        <v>190</v>
      </c>
      <c r="H678">
        <v>183</v>
      </c>
    </row>
    <row r="679" spans="4:8" x14ac:dyDescent="0.2">
      <c r="D679" s="22">
        <v>45785</v>
      </c>
      <c r="E679">
        <v>208</v>
      </c>
      <c r="F679">
        <v>190</v>
      </c>
      <c r="H679">
        <v>187</v>
      </c>
    </row>
    <row r="680" spans="4:8" x14ac:dyDescent="0.2">
      <c r="D680" s="22">
        <v>45786</v>
      </c>
      <c r="E680">
        <v>197</v>
      </c>
      <c r="F680">
        <v>190</v>
      </c>
      <c r="H680">
        <v>191</v>
      </c>
    </row>
    <row r="681" spans="4:8" x14ac:dyDescent="0.2">
      <c r="D681" s="22">
        <v>45787</v>
      </c>
      <c r="E681">
        <v>161</v>
      </c>
      <c r="F681">
        <v>190</v>
      </c>
      <c r="H681">
        <v>186</v>
      </c>
    </row>
    <row r="682" spans="4:8" x14ac:dyDescent="0.2">
      <c r="D682" s="22">
        <v>45788</v>
      </c>
      <c r="E682">
        <v>190</v>
      </c>
      <c r="F682">
        <v>190</v>
      </c>
      <c r="H682">
        <v>186</v>
      </c>
    </row>
    <row r="683" spans="4:8" x14ac:dyDescent="0.2">
      <c r="D683" s="22">
        <v>45789</v>
      </c>
      <c r="E683">
        <v>173</v>
      </c>
      <c r="F683">
        <v>190</v>
      </c>
      <c r="H683">
        <v>182</v>
      </c>
    </row>
    <row r="684" spans="4:8" x14ac:dyDescent="0.2">
      <c r="D684" s="22">
        <v>45790</v>
      </c>
      <c r="E684">
        <v>190</v>
      </c>
      <c r="F684">
        <v>190</v>
      </c>
      <c r="H684">
        <v>186</v>
      </c>
    </row>
    <row r="685" spans="4:8" x14ac:dyDescent="0.2">
      <c r="D685" s="22">
        <v>45791</v>
      </c>
      <c r="E685">
        <v>201</v>
      </c>
      <c r="F685">
        <v>190</v>
      </c>
      <c r="H685">
        <v>189</v>
      </c>
    </row>
    <row r="686" spans="4:8" x14ac:dyDescent="0.2">
      <c r="D686" s="22">
        <v>45792</v>
      </c>
      <c r="E686">
        <v>194</v>
      </c>
      <c r="F686">
        <v>190</v>
      </c>
      <c r="H686">
        <v>187</v>
      </c>
    </row>
    <row r="687" spans="4:8" x14ac:dyDescent="0.2">
      <c r="D687" s="22">
        <v>45793</v>
      </c>
      <c r="E687">
        <v>191</v>
      </c>
      <c r="F687">
        <v>190</v>
      </c>
      <c r="H687">
        <v>186</v>
      </c>
    </row>
    <row r="688" spans="4:8" x14ac:dyDescent="0.2">
      <c r="D688" s="22">
        <v>45794</v>
      </c>
      <c r="E688">
        <v>184</v>
      </c>
      <c r="F688">
        <v>190</v>
      </c>
      <c r="H688">
        <v>189</v>
      </c>
    </row>
    <row r="689" spans="4:8" x14ac:dyDescent="0.2">
      <c r="D689" s="22">
        <v>45795</v>
      </c>
      <c r="E689">
        <v>172</v>
      </c>
      <c r="F689">
        <v>190</v>
      </c>
      <c r="H689">
        <v>186</v>
      </c>
    </row>
    <row r="690" spans="4:8" x14ac:dyDescent="0.2">
      <c r="D690" s="22">
        <v>45796</v>
      </c>
      <c r="E690">
        <v>187</v>
      </c>
      <c r="F690">
        <v>190</v>
      </c>
      <c r="H690">
        <v>188</v>
      </c>
    </row>
    <row r="691" spans="4:8" x14ac:dyDescent="0.2">
      <c r="D691" s="22">
        <v>45797</v>
      </c>
      <c r="E691">
        <v>187</v>
      </c>
      <c r="F691">
        <v>190</v>
      </c>
      <c r="H691">
        <v>188</v>
      </c>
    </row>
    <row r="692" spans="4:8" x14ac:dyDescent="0.2">
      <c r="D692" s="22">
        <v>45798</v>
      </c>
      <c r="E692">
        <v>207</v>
      </c>
      <c r="F692">
        <v>190</v>
      </c>
      <c r="H692">
        <v>189</v>
      </c>
    </row>
    <row r="693" spans="4:8" x14ac:dyDescent="0.2">
      <c r="D693" s="22">
        <v>45799</v>
      </c>
      <c r="E693">
        <v>187</v>
      </c>
      <c r="F693">
        <v>190</v>
      </c>
      <c r="H693">
        <v>188</v>
      </c>
    </row>
    <row r="694" spans="4:8" x14ac:dyDescent="0.2">
      <c r="D694" s="22">
        <v>45800</v>
      </c>
      <c r="E694">
        <v>194</v>
      </c>
      <c r="F694">
        <v>190</v>
      </c>
      <c r="H694">
        <v>188</v>
      </c>
    </row>
    <row r="695" spans="4:8" x14ac:dyDescent="0.2">
      <c r="D695" s="22">
        <v>45801</v>
      </c>
      <c r="E695">
        <v>171</v>
      </c>
      <c r="F695">
        <v>190</v>
      </c>
      <c r="H695">
        <v>186</v>
      </c>
    </row>
    <row r="696" spans="4:8" x14ac:dyDescent="0.2">
      <c r="D696" s="22">
        <v>45802</v>
      </c>
      <c r="E696">
        <v>193</v>
      </c>
      <c r="F696">
        <v>190</v>
      </c>
      <c r="H696">
        <v>189</v>
      </c>
    </row>
    <row r="697" spans="4:8" x14ac:dyDescent="0.2">
      <c r="D697" s="22">
        <v>45803</v>
      </c>
      <c r="E697">
        <v>174</v>
      </c>
      <c r="F697">
        <v>190</v>
      </c>
      <c r="H697">
        <v>188</v>
      </c>
    </row>
    <row r="698" spans="4:8" x14ac:dyDescent="0.2">
      <c r="D698" s="22">
        <v>45804</v>
      </c>
      <c r="E698">
        <v>214</v>
      </c>
      <c r="F698">
        <v>190</v>
      </c>
      <c r="H698">
        <v>191</v>
      </c>
    </row>
    <row r="699" spans="4:8" x14ac:dyDescent="0.2">
      <c r="D699" s="22">
        <v>45805</v>
      </c>
      <c r="E699">
        <v>168</v>
      </c>
      <c r="F699">
        <v>190</v>
      </c>
      <c r="H699">
        <v>186</v>
      </c>
    </row>
    <row r="700" spans="4:8" x14ac:dyDescent="0.2">
      <c r="D700" s="22">
        <v>45806</v>
      </c>
      <c r="E700">
        <v>207</v>
      </c>
      <c r="F700">
        <v>190</v>
      </c>
      <c r="H700">
        <v>189</v>
      </c>
    </row>
    <row r="701" spans="4:8" x14ac:dyDescent="0.2">
      <c r="D701" s="22">
        <v>45807</v>
      </c>
      <c r="E701">
        <v>189</v>
      </c>
      <c r="F701">
        <v>190</v>
      </c>
      <c r="H701">
        <v>188</v>
      </c>
    </row>
    <row r="702" spans="4:8" x14ac:dyDescent="0.2">
      <c r="D702" s="22">
        <v>45808</v>
      </c>
      <c r="E702">
        <v>212</v>
      </c>
      <c r="F702">
        <v>190</v>
      </c>
      <c r="H702">
        <v>194</v>
      </c>
    </row>
    <row r="703" spans="4:8" x14ac:dyDescent="0.2">
      <c r="D703" s="22">
        <v>45809</v>
      </c>
      <c r="E703">
        <v>195</v>
      </c>
      <c r="F703">
        <v>190</v>
      </c>
      <c r="H703">
        <v>194</v>
      </c>
    </row>
    <row r="704" spans="4:8" x14ac:dyDescent="0.2">
      <c r="D704" s="22">
        <v>45810</v>
      </c>
      <c r="E704">
        <v>212</v>
      </c>
      <c r="F704">
        <v>190</v>
      </c>
      <c r="H704">
        <v>200</v>
      </c>
    </row>
    <row r="705" spans="4:8" x14ac:dyDescent="0.2">
      <c r="D705" s="22">
        <v>45811</v>
      </c>
      <c r="E705">
        <v>189</v>
      </c>
      <c r="F705">
        <v>190</v>
      </c>
      <c r="H705">
        <v>196</v>
      </c>
    </row>
    <row r="706" spans="4:8" x14ac:dyDescent="0.2">
      <c r="D706" s="22">
        <v>45812</v>
      </c>
      <c r="E706">
        <v>209</v>
      </c>
      <c r="F706">
        <v>190</v>
      </c>
      <c r="H706">
        <v>202</v>
      </c>
    </row>
    <row r="707" spans="4:8" x14ac:dyDescent="0.2">
      <c r="D707" s="22">
        <v>45813</v>
      </c>
      <c r="E707">
        <v>196</v>
      </c>
      <c r="F707">
        <v>190</v>
      </c>
      <c r="H707">
        <v>200</v>
      </c>
    </row>
    <row r="708" spans="4:8" x14ac:dyDescent="0.2">
      <c r="D708" s="22">
        <v>45814</v>
      </c>
      <c r="E708">
        <v>197</v>
      </c>
      <c r="F708">
        <v>190</v>
      </c>
      <c r="H708">
        <v>201</v>
      </c>
    </row>
    <row r="709" spans="4:8" x14ac:dyDescent="0.2">
      <c r="D709" s="22">
        <v>45815</v>
      </c>
      <c r="E709">
        <v>189</v>
      </c>
      <c r="F709">
        <v>190</v>
      </c>
      <c r="H709">
        <v>198</v>
      </c>
    </row>
    <row r="710" spans="4:8" x14ac:dyDescent="0.2">
      <c r="D710" s="22">
        <v>45816</v>
      </c>
      <c r="E710">
        <v>185</v>
      </c>
      <c r="F710">
        <v>190</v>
      </c>
      <c r="H710">
        <v>197</v>
      </c>
    </row>
    <row r="711" spans="4:8" x14ac:dyDescent="0.2">
      <c r="D711" s="22">
        <v>45817</v>
      </c>
      <c r="E711">
        <v>183</v>
      </c>
      <c r="F711">
        <v>190</v>
      </c>
      <c r="H711">
        <v>193</v>
      </c>
    </row>
    <row r="712" spans="4:8" x14ac:dyDescent="0.2">
      <c r="D712" s="22">
        <v>45818</v>
      </c>
      <c r="E712">
        <v>190</v>
      </c>
      <c r="F712">
        <v>190</v>
      </c>
      <c r="H712">
        <v>193</v>
      </c>
    </row>
    <row r="713" spans="4:8" x14ac:dyDescent="0.2">
      <c r="D713" s="22">
        <v>45819</v>
      </c>
      <c r="E713">
        <v>207</v>
      </c>
      <c r="F713">
        <v>190</v>
      </c>
      <c r="H713">
        <v>192</v>
      </c>
    </row>
    <row r="714" spans="4:8" x14ac:dyDescent="0.2">
      <c r="D714" s="22">
        <v>45820</v>
      </c>
      <c r="E714">
        <v>222</v>
      </c>
      <c r="F714">
        <v>190</v>
      </c>
      <c r="H714">
        <v>196</v>
      </c>
    </row>
    <row r="715" spans="4:8" x14ac:dyDescent="0.2">
      <c r="D715" s="22">
        <v>45821</v>
      </c>
      <c r="E715">
        <v>208</v>
      </c>
      <c r="F715">
        <v>190</v>
      </c>
      <c r="H715">
        <v>198</v>
      </c>
    </row>
    <row r="716" spans="4:8" x14ac:dyDescent="0.2">
      <c r="D716" s="22">
        <v>45822</v>
      </c>
      <c r="E716">
        <v>177</v>
      </c>
      <c r="F716">
        <v>190</v>
      </c>
      <c r="H716">
        <v>196</v>
      </c>
    </row>
    <row r="717" spans="4:8" x14ac:dyDescent="0.2">
      <c r="D717" s="22">
        <v>45823</v>
      </c>
      <c r="E717">
        <v>183</v>
      </c>
      <c r="F717">
        <v>190</v>
      </c>
      <c r="H717">
        <v>196</v>
      </c>
    </row>
    <row r="718" spans="4:8" x14ac:dyDescent="0.2">
      <c r="D718" s="22">
        <v>45824</v>
      </c>
      <c r="E718">
        <v>195</v>
      </c>
      <c r="F718">
        <v>190</v>
      </c>
      <c r="H718">
        <v>197</v>
      </c>
    </row>
    <row r="719" spans="4:8" x14ac:dyDescent="0.2">
      <c r="D719" s="22">
        <v>45825</v>
      </c>
      <c r="E719">
        <v>208</v>
      </c>
      <c r="F719">
        <v>190</v>
      </c>
      <c r="H719">
        <v>200</v>
      </c>
    </row>
    <row r="720" spans="4:8" x14ac:dyDescent="0.2">
      <c r="D720" s="22">
        <v>45826</v>
      </c>
      <c r="E720">
        <v>198</v>
      </c>
      <c r="F720">
        <v>190</v>
      </c>
      <c r="H720">
        <v>199</v>
      </c>
    </row>
    <row r="721" spans="4:8" x14ac:dyDescent="0.2">
      <c r="D721" s="22">
        <v>45827</v>
      </c>
      <c r="E721">
        <v>188</v>
      </c>
      <c r="F721">
        <v>190</v>
      </c>
      <c r="H721">
        <v>194</v>
      </c>
    </row>
    <row r="722" spans="4:8" x14ac:dyDescent="0.2">
      <c r="D722" s="22">
        <v>45828</v>
      </c>
      <c r="E722">
        <v>214</v>
      </c>
      <c r="F722">
        <v>190</v>
      </c>
      <c r="H722">
        <v>195</v>
      </c>
    </row>
    <row r="723" spans="4:8" x14ac:dyDescent="0.2">
      <c r="D723" s="22">
        <v>45829</v>
      </c>
      <c r="E723">
        <v>206</v>
      </c>
      <c r="F723">
        <v>190</v>
      </c>
      <c r="H723">
        <v>199</v>
      </c>
    </row>
    <row r="724" spans="4:8" x14ac:dyDescent="0.2">
      <c r="D724" s="22">
        <v>45830</v>
      </c>
      <c r="E724">
        <v>192</v>
      </c>
      <c r="F724">
        <v>190</v>
      </c>
      <c r="H724">
        <v>200</v>
      </c>
    </row>
    <row r="725" spans="4:8" x14ac:dyDescent="0.2">
      <c r="D725" s="22">
        <v>45831</v>
      </c>
      <c r="E725">
        <v>175</v>
      </c>
      <c r="F725">
        <v>190</v>
      </c>
      <c r="H725">
        <v>197</v>
      </c>
    </row>
    <row r="726" spans="4:8" x14ac:dyDescent="0.2">
      <c r="D726" s="22">
        <v>45832</v>
      </c>
      <c r="E726">
        <v>198</v>
      </c>
      <c r="F726">
        <v>190</v>
      </c>
      <c r="H726">
        <v>196</v>
      </c>
    </row>
    <row r="727" spans="4:8" x14ac:dyDescent="0.2">
      <c r="D727" s="22">
        <v>45833</v>
      </c>
      <c r="E727">
        <v>212</v>
      </c>
      <c r="F727">
        <v>190</v>
      </c>
      <c r="H727">
        <v>198</v>
      </c>
    </row>
    <row r="728" spans="4:8" x14ac:dyDescent="0.2">
      <c r="D728" s="22">
        <v>45834</v>
      </c>
      <c r="E728">
        <v>203</v>
      </c>
      <c r="F728">
        <v>190</v>
      </c>
      <c r="H728">
        <v>200</v>
      </c>
    </row>
    <row r="729" spans="4:8" x14ac:dyDescent="0.2">
      <c r="D729" s="22">
        <v>45835</v>
      </c>
      <c r="E729">
        <v>178</v>
      </c>
      <c r="F729">
        <v>190</v>
      </c>
      <c r="H729">
        <v>195</v>
      </c>
    </row>
    <row r="730" spans="4:8" x14ac:dyDescent="0.2">
      <c r="D730" s="22">
        <v>45836</v>
      </c>
      <c r="E730">
        <v>204</v>
      </c>
      <c r="F730">
        <v>190</v>
      </c>
      <c r="H730">
        <v>195</v>
      </c>
    </row>
    <row r="731" spans="4:8" x14ac:dyDescent="0.2">
      <c r="D731" s="22">
        <v>45837</v>
      </c>
      <c r="E731">
        <v>179</v>
      </c>
      <c r="F731">
        <v>190</v>
      </c>
      <c r="H731">
        <v>193</v>
      </c>
    </row>
    <row r="732" spans="4:8" x14ac:dyDescent="0.2">
      <c r="D732" s="22">
        <v>45838</v>
      </c>
      <c r="E732">
        <v>190</v>
      </c>
      <c r="F732">
        <v>190</v>
      </c>
      <c r="H732">
        <v>195</v>
      </c>
    </row>
    <row r="733" spans="4:8" x14ac:dyDescent="0.2">
      <c r="D733" s="22">
        <v>45839</v>
      </c>
      <c r="E733">
        <v>214</v>
      </c>
      <c r="F733">
        <v>190</v>
      </c>
      <c r="H733">
        <v>197</v>
      </c>
    </row>
    <row r="734" spans="4:8" x14ac:dyDescent="0.2">
      <c r="D734" s="22">
        <v>45840</v>
      </c>
      <c r="E734">
        <v>179</v>
      </c>
      <c r="F734">
        <v>190</v>
      </c>
      <c r="H734">
        <v>192</v>
      </c>
    </row>
    <row r="735" spans="4:8" x14ac:dyDescent="0.2">
      <c r="D735" s="22">
        <v>45841</v>
      </c>
      <c r="E735">
        <v>191</v>
      </c>
      <c r="F735">
        <v>190</v>
      </c>
      <c r="H735">
        <v>191</v>
      </c>
    </row>
    <row r="736" spans="4:8" x14ac:dyDescent="0.2">
      <c r="D736" s="22">
        <v>45842</v>
      </c>
      <c r="E736">
        <v>170</v>
      </c>
      <c r="F736">
        <v>190</v>
      </c>
      <c r="H736">
        <v>190</v>
      </c>
    </row>
    <row r="737" spans="4:8" x14ac:dyDescent="0.2">
      <c r="D737" s="22">
        <v>45843</v>
      </c>
      <c r="E737">
        <v>193</v>
      </c>
      <c r="F737">
        <v>190</v>
      </c>
      <c r="H737">
        <v>188</v>
      </c>
    </row>
    <row r="738" spans="4:8" x14ac:dyDescent="0.2">
      <c r="D738" s="22">
        <v>45844</v>
      </c>
      <c r="E738">
        <v>208</v>
      </c>
      <c r="F738">
        <v>190</v>
      </c>
      <c r="H738">
        <v>192</v>
      </c>
    </row>
    <row r="739" spans="4:8" x14ac:dyDescent="0.2">
      <c r="D739" s="22">
        <v>45845</v>
      </c>
      <c r="E739">
        <v>211</v>
      </c>
      <c r="F739">
        <v>190</v>
      </c>
      <c r="H739">
        <v>195</v>
      </c>
    </row>
    <row r="740" spans="4:8" x14ac:dyDescent="0.2">
      <c r="D740" s="22">
        <v>45846</v>
      </c>
      <c r="E740">
        <v>189</v>
      </c>
      <c r="F740">
        <v>190</v>
      </c>
      <c r="H740">
        <v>192</v>
      </c>
    </row>
    <row r="741" spans="4:8" x14ac:dyDescent="0.2">
      <c r="D741" s="22">
        <v>45847</v>
      </c>
      <c r="E741">
        <v>199</v>
      </c>
      <c r="F741">
        <v>190</v>
      </c>
      <c r="H741">
        <v>194</v>
      </c>
    </row>
    <row r="742" spans="4:8" x14ac:dyDescent="0.2">
      <c r="D742" s="22">
        <v>45848</v>
      </c>
      <c r="E742">
        <v>193</v>
      </c>
      <c r="F742">
        <v>190</v>
      </c>
      <c r="H742">
        <v>195</v>
      </c>
    </row>
    <row r="743" spans="4:8" x14ac:dyDescent="0.2">
      <c r="D743" s="22">
        <v>45849</v>
      </c>
      <c r="E743">
        <v>205</v>
      </c>
      <c r="F743">
        <v>190</v>
      </c>
      <c r="H743">
        <v>200</v>
      </c>
    </row>
    <row r="744" spans="4:8" x14ac:dyDescent="0.2">
      <c r="D744" s="22">
        <v>45850</v>
      </c>
      <c r="E744">
        <v>210</v>
      </c>
      <c r="F744">
        <v>190</v>
      </c>
      <c r="H744">
        <v>202</v>
      </c>
    </row>
    <row r="745" spans="4:8" x14ac:dyDescent="0.2">
      <c r="D745" s="22">
        <v>45851</v>
      </c>
      <c r="E745">
        <v>175</v>
      </c>
      <c r="F745">
        <v>190</v>
      </c>
      <c r="H745">
        <v>197</v>
      </c>
    </row>
    <row r="746" spans="4:8" x14ac:dyDescent="0.2">
      <c r="D746" s="22">
        <v>45852</v>
      </c>
      <c r="E746">
        <v>183</v>
      </c>
      <c r="F746">
        <v>190</v>
      </c>
      <c r="H746">
        <v>193</v>
      </c>
    </row>
    <row r="747" spans="4:8" x14ac:dyDescent="0.2">
      <c r="D747" s="22">
        <v>45853</v>
      </c>
      <c r="E747">
        <v>186</v>
      </c>
      <c r="F747">
        <v>190</v>
      </c>
      <c r="H747">
        <v>193</v>
      </c>
    </row>
    <row r="748" spans="4:8" x14ac:dyDescent="0.2">
      <c r="D748" s="22">
        <v>45854</v>
      </c>
      <c r="E748">
        <v>190</v>
      </c>
      <c r="F748">
        <v>190</v>
      </c>
      <c r="H748">
        <v>192</v>
      </c>
    </row>
    <row r="749" spans="4:8" x14ac:dyDescent="0.2">
      <c r="D749" s="22">
        <v>45855</v>
      </c>
      <c r="E749">
        <v>208</v>
      </c>
      <c r="F749">
        <v>190</v>
      </c>
      <c r="H749">
        <v>194</v>
      </c>
    </row>
    <row r="750" spans="4:8" x14ac:dyDescent="0.2">
      <c r="D750" s="22">
        <v>45856</v>
      </c>
      <c r="E750">
        <v>174</v>
      </c>
      <c r="F750">
        <v>190</v>
      </c>
      <c r="H750">
        <v>189</v>
      </c>
    </row>
    <row r="751" spans="4:8" x14ac:dyDescent="0.2">
      <c r="D751" s="22">
        <v>45857</v>
      </c>
      <c r="E751">
        <v>194</v>
      </c>
      <c r="F751">
        <v>190</v>
      </c>
      <c r="H751">
        <v>187</v>
      </c>
    </row>
    <row r="752" spans="4:8" x14ac:dyDescent="0.2">
      <c r="D752" s="22">
        <v>45858</v>
      </c>
      <c r="E752">
        <v>221</v>
      </c>
      <c r="F752">
        <v>191</v>
      </c>
      <c r="H752">
        <v>194</v>
      </c>
    </row>
    <row r="753" spans="4:8" x14ac:dyDescent="0.2">
      <c r="D753" s="22">
        <v>45859</v>
      </c>
      <c r="E753">
        <v>183</v>
      </c>
      <c r="F753">
        <v>190</v>
      </c>
      <c r="H753">
        <v>194</v>
      </c>
    </row>
    <row r="754" spans="4:8" x14ac:dyDescent="0.2">
      <c r="D754" s="22">
        <v>45860</v>
      </c>
      <c r="E754">
        <v>168</v>
      </c>
      <c r="F754">
        <v>190</v>
      </c>
      <c r="H754">
        <v>191</v>
      </c>
    </row>
    <row r="755" spans="4:8" x14ac:dyDescent="0.2">
      <c r="D755" s="22">
        <v>45861</v>
      </c>
      <c r="E755">
        <v>195</v>
      </c>
      <c r="F755">
        <v>190</v>
      </c>
      <c r="H755">
        <v>192</v>
      </c>
    </row>
    <row r="756" spans="4:8" x14ac:dyDescent="0.2">
      <c r="D756" s="22">
        <v>45862</v>
      </c>
      <c r="E756">
        <v>217</v>
      </c>
      <c r="F756">
        <v>191</v>
      </c>
      <c r="H756">
        <v>193</v>
      </c>
    </row>
    <row r="757" spans="4:8" x14ac:dyDescent="0.2">
      <c r="D757" s="22">
        <v>45863</v>
      </c>
      <c r="E757">
        <v>194</v>
      </c>
      <c r="F757">
        <v>191</v>
      </c>
      <c r="H757">
        <v>196</v>
      </c>
    </row>
    <row r="758" spans="4:8" x14ac:dyDescent="0.2">
      <c r="D758" s="22">
        <v>45864</v>
      </c>
      <c r="E758">
        <v>178</v>
      </c>
      <c r="F758">
        <v>190</v>
      </c>
      <c r="H758">
        <v>194</v>
      </c>
    </row>
    <row r="759" spans="4:8" x14ac:dyDescent="0.2">
      <c r="D759" s="22">
        <v>45865</v>
      </c>
      <c r="E759">
        <v>164</v>
      </c>
      <c r="F759">
        <v>190</v>
      </c>
      <c r="H759">
        <v>186</v>
      </c>
    </row>
    <row r="760" spans="4:8" x14ac:dyDescent="0.2">
      <c r="D760" s="22">
        <v>45866</v>
      </c>
      <c r="E760">
        <v>209</v>
      </c>
      <c r="F760">
        <v>190</v>
      </c>
      <c r="H760">
        <v>189</v>
      </c>
    </row>
    <row r="761" spans="4:8" x14ac:dyDescent="0.2">
      <c r="D761" s="22">
        <v>45867</v>
      </c>
      <c r="E761">
        <v>205</v>
      </c>
      <c r="F761">
        <v>191</v>
      </c>
      <c r="H761">
        <v>195</v>
      </c>
    </row>
    <row r="762" spans="4:8" x14ac:dyDescent="0.2">
      <c r="D762" s="22">
        <v>45868</v>
      </c>
      <c r="E762">
        <v>191</v>
      </c>
      <c r="F762">
        <v>191</v>
      </c>
      <c r="H762">
        <v>194</v>
      </c>
    </row>
    <row r="763" spans="4:8" x14ac:dyDescent="0.2">
      <c r="D763" s="22">
        <v>45869</v>
      </c>
      <c r="E763">
        <v>164</v>
      </c>
      <c r="F763">
        <v>190</v>
      </c>
      <c r="H763">
        <v>186</v>
      </c>
    </row>
    <row r="764" spans="4:8" x14ac:dyDescent="0.2">
      <c r="D764" s="22">
        <v>45870</v>
      </c>
      <c r="E764">
        <v>188</v>
      </c>
      <c r="F764">
        <v>190</v>
      </c>
      <c r="H764">
        <v>186</v>
      </c>
    </row>
    <row r="765" spans="4:8" x14ac:dyDescent="0.2">
      <c r="D765" s="22">
        <v>45871</v>
      </c>
      <c r="E765">
        <v>184</v>
      </c>
      <c r="F765">
        <v>190</v>
      </c>
      <c r="H765">
        <v>186</v>
      </c>
    </row>
    <row r="766" spans="4:8" x14ac:dyDescent="0.2">
      <c r="D766" s="22">
        <v>45872</v>
      </c>
      <c r="E766">
        <v>178</v>
      </c>
      <c r="F766">
        <v>190</v>
      </c>
      <c r="H766">
        <v>188</v>
      </c>
    </row>
    <row r="767" spans="4:8" x14ac:dyDescent="0.2">
      <c r="D767" s="22">
        <v>45873</v>
      </c>
      <c r="E767">
        <v>213</v>
      </c>
      <c r="F767">
        <v>190</v>
      </c>
      <c r="H767">
        <v>189</v>
      </c>
    </row>
    <row r="768" spans="4:8" x14ac:dyDescent="0.2">
      <c r="D768" s="22">
        <v>45874</v>
      </c>
      <c r="E768">
        <v>178</v>
      </c>
      <c r="F768">
        <v>190</v>
      </c>
      <c r="H768">
        <v>185</v>
      </c>
    </row>
    <row r="769" spans="4:8" x14ac:dyDescent="0.2">
      <c r="D769" s="22">
        <v>45875</v>
      </c>
      <c r="E769">
        <v>191</v>
      </c>
      <c r="F769">
        <v>190</v>
      </c>
      <c r="H769">
        <v>185</v>
      </c>
    </row>
    <row r="770" spans="4:8" x14ac:dyDescent="0.2">
      <c r="D770" s="22">
        <v>45876</v>
      </c>
      <c r="E770">
        <v>217</v>
      </c>
      <c r="F770">
        <v>190</v>
      </c>
      <c r="H770">
        <v>193</v>
      </c>
    </row>
    <row r="771" spans="4:8" x14ac:dyDescent="0.2">
      <c r="D771" s="22">
        <v>45877</v>
      </c>
      <c r="E771">
        <v>174</v>
      </c>
      <c r="F771">
        <v>190</v>
      </c>
      <c r="H771">
        <v>191</v>
      </c>
    </row>
    <row r="772" spans="4:8" x14ac:dyDescent="0.2">
      <c r="D772" s="22">
        <v>45878</v>
      </c>
      <c r="E772">
        <v>191</v>
      </c>
      <c r="F772">
        <v>190</v>
      </c>
      <c r="H772">
        <v>192</v>
      </c>
    </row>
    <row r="773" spans="4:8" x14ac:dyDescent="0.2">
      <c r="D773" s="22">
        <v>45879</v>
      </c>
      <c r="E773">
        <v>181</v>
      </c>
      <c r="F773">
        <v>190</v>
      </c>
      <c r="H773">
        <v>192</v>
      </c>
    </row>
    <row r="774" spans="4:8" x14ac:dyDescent="0.2">
      <c r="D774" s="22">
        <v>45880</v>
      </c>
      <c r="E774">
        <v>236</v>
      </c>
      <c r="F774">
        <v>191</v>
      </c>
      <c r="H774">
        <v>195</v>
      </c>
    </row>
    <row r="775" spans="4:8" x14ac:dyDescent="0.2">
      <c r="D775" s="22">
        <v>45881</v>
      </c>
      <c r="E775">
        <v>202</v>
      </c>
      <c r="F775">
        <v>191</v>
      </c>
      <c r="H775">
        <v>199</v>
      </c>
    </row>
    <row r="776" spans="4:8" x14ac:dyDescent="0.2">
      <c r="D776" s="22">
        <v>45882</v>
      </c>
      <c r="E776">
        <v>186</v>
      </c>
      <c r="F776">
        <v>191</v>
      </c>
      <c r="H776">
        <v>198</v>
      </c>
    </row>
    <row r="777" spans="4:8" x14ac:dyDescent="0.2">
      <c r="D777" s="22">
        <v>45883</v>
      </c>
      <c r="E777">
        <v>184</v>
      </c>
      <c r="F777">
        <v>191</v>
      </c>
      <c r="H777">
        <v>193</v>
      </c>
    </row>
    <row r="778" spans="4:8" x14ac:dyDescent="0.2">
      <c r="D778" s="22">
        <v>45884</v>
      </c>
      <c r="E778">
        <v>172</v>
      </c>
      <c r="F778">
        <v>190</v>
      </c>
      <c r="H778">
        <v>193</v>
      </c>
    </row>
    <row r="779" spans="4:8" x14ac:dyDescent="0.2">
      <c r="D779" s="22">
        <v>45885</v>
      </c>
      <c r="E779">
        <v>183</v>
      </c>
      <c r="F779">
        <v>190</v>
      </c>
      <c r="H779">
        <v>192</v>
      </c>
    </row>
    <row r="780" spans="4:8" x14ac:dyDescent="0.2">
      <c r="D780" s="22">
        <v>45886</v>
      </c>
      <c r="E780">
        <v>200</v>
      </c>
      <c r="F780">
        <v>190</v>
      </c>
      <c r="H780">
        <v>195</v>
      </c>
    </row>
    <row r="781" spans="4:8" x14ac:dyDescent="0.2">
      <c r="D781" s="22">
        <v>45887</v>
      </c>
      <c r="E781">
        <v>191</v>
      </c>
      <c r="F781">
        <v>190</v>
      </c>
      <c r="H781">
        <v>188</v>
      </c>
    </row>
    <row r="782" spans="4:8" x14ac:dyDescent="0.2">
      <c r="D782" s="22">
        <v>45888</v>
      </c>
      <c r="E782">
        <v>206</v>
      </c>
      <c r="F782">
        <v>191</v>
      </c>
      <c r="H782">
        <v>189</v>
      </c>
    </row>
    <row r="783" spans="4:8" x14ac:dyDescent="0.2">
      <c r="D783" s="22">
        <v>45889</v>
      </c>
      <c r="E783">
        <v>192</v>
      </c>
      <c r="F783">
        <v>191</v>
      </c>
      <c r="H783">
        <v>190</v>
      </c>
    </row>
    <row r="784" spans="4:8" x14ac:dyDescent="0.2">
      <c r="D784" s="22">
        <v>45890</v>
      </c>
      <c r="E784">
        <v>214</v>
      </c>
      <c r="F784">
        <v>191</v>
      </c>
      <c r="H784">
        <v>194</v>
      </c>
    </row>
    <row r="785" spans="4:8" x14ac:dyDescent="0.2">
      <c r="D785" s="22">
        <v>45891</v>
      </c>
      <c r="E785">
        <v>189</v>
      </c>
      <c r="F785">
        <v>191</v>
      </c>
      <c r="H785">
        <v>196</v>
      </c>
    </row>
    <row r="786" spans="4:8" x14ac:dyDescent="0.2">
      <c r="D786" s="22">
        <v>45892</v>
      </c>
      <c r="E786">
        <v>190</v>
      </c>
      <c r="F786">
        <v>191</v>
      </c>
      <c r="H786">
        <v>197</v>
      </c>
    </row>
    <row r="787" spans="4:8" x14ac:dyDescent="0.2">
      <c r="D787" s="22">
        <v>45893</v>
      </c>
      <c r="E787">
        <v>198</v>
      </c>
      <c r="F787">
        <v>191</v>
      </c>
      <c r="H787">
        <v>197</v>
      </c>
    </row>
    <row r="788" spans="4:8" x14ac:dyDescent="0.2">
      <c r="D788" s="22">
        <v>45894</v>
      </c>
      <c r="E788">
        <v>181</v>
      </c>
      <c r="F788">
        <v>191</v>
      </c>
      <c r="H788">
        <v>196</v>
      </c>
    </row>
    <row r="789" spans="4:8" x14ac:dyDescent="0.2">
      <c r="D789" s="22">
        <v>45895</v>
      </c>
      <c r="E789">
        <v>196</v>
      </c>
      <c r="F789">
        <v>191</v>
      </c>
      <c r="H789">
        <v>194</v>
      </c>
    </row>
    <row r="790" spans="4:8" x14ac:dyDescent="0.2">
      <c r="D790" s="22">
        <v>45896</v>
      </c>
      <c r="E790">
        <v>189</v>
      </c>
      <c r="F790">
        <v>191</v>
      </c>
      <c r="H790">
        <v>194</v>
      </c>
    </row>
    <row r="791" spans="4:8" x14ac:dyDescent="0.2">
      <c r="D791" s="22">
        <v>45897</v>
      </c>
      <c r="E791">
        <v>167</v>
      </c>
      <c r="F791">
        <v>191</v>
      </c>
      <c r="H791">
        <v>187</v>
      </c>
    </row>
    <row r="792" spans="4:8" x14ac:dyDescent="0.2">
      <c r="D792" s="22">
        <v>45898</v>
      </c>
      <c r="E792">
        <v>186</v>
      </c>
      <c r="F792">
        <v>191</v>
      </c>
      <c r="H792">
        <v>187</v>
      </c>
    </row>
    <row r="793" spans="4:8" x14ac:dyDescent="0.2">
      <c r="D793" s="22">
        <v>45899</v>
      </c>
      <c r="E793">
        <v>193</v>
      </c>
      <c r="F793">
        <v>191</v>
      </c>
      <c r="H793">
        <v>187</v>
      </c>
    </row>
    <row r="794" spans="4:8" x14ac:dyDescent="0.2">
      <c r="D794" s="22">
        <v>45900</v>
      </c>
      <c r="E794">
        <v>182</v>
      </c>
      <c r="F794">
        <v>191</v>
      </c>
      <c r="H794">
        <v>185</v>
      </c>
    </row>
    <row r="795" spans="4:8" x14ac:dyDescent="0.2">
      <c r="D795" s="22">
        <v>45901</v>
      </c>
      <c r="E795">
        <v>176</v>
      </c>
      <c r="F795">
        <v>190</v>
      </c>
      <c r="H795">
        <v>184</v>
      </c>
    </row>
    <row r="796" spans="4:8" x14ac:dyDescent="0.2">
      <c r="D796" s="22">
        <v>45902</v>
      </c>
      <c r="E796">
        <v>202</v>
      </c>
      <c r="F796">
        <v>191</v>
      </c>
      <c r="H796">
        <v>185</v>
      </c>
    </row>
    <row r="797" spans="4:8" x14ac:dyDescent="0.2">
      <c r="D797" s="22">
        <v>45903</v>
      </c>
      <c r="E797">
        <v>181</v>
      </c>
      <c r="F797">
        <v>190</v>
      </c>
      <c r="H797">
        <v>184</v>
      </c>
    </row>
    <row r="798" spans="4:8" x14ac:dyDescent="0.2">
      <c r="D798" s="22">
        <v>45904</v>
      </c>
      <c r="E798">
        <v>174</v>
      </c>
      <c r="F798">
        <v>190</v>
      </c>
      <c r="H798">
        <v>185</v>
      </c>
    </row>
    <row r="799" spans="4:8" x14ac:dyDescent="0.2">
      <c r="D799" s="22">
        <v>45905</v>
      </c>
      <c r="E799">
        <v>192</v>
      </c>
      <c r="F799">
        <v>190</v>
      </c>
      <c r="H799">
        <v>186</v>
      </c>
    </row>
    <row r="800" spans="4:8" x14ac:dyDescent="0.2">
      <c r="D800" s="22">
        <v>45906</v>
      </c>
      <c r="E800">
        <v>181</v>
      </c>
      <c r="F800">
        <v>190</v>
      </c>
      <c r="H800">
        <v>184</v>
      </c>
    </row>
    <row r="801" spans="4:8" x14ac:dyDescent="0.2">
      <c r="D801" s="22">
        <v>45907</v>
      </c>
      <c r="E801">
        <v>197</v>
      </c>
      <c r="F801">
        <v>190</v>
      </c>
      <c r="H801">
        <v>186</v>
      </c>
    </row>
    <row r="802" spans="4:8" x14ac:dyDescent="0.2">
      <c r="D802" s="22">
        <v>45908</v>
      </c>
      <c r="E802">
        <v>188</v>
      </c>
      <c r="F802">
        <v>190</v>
      </c>
      <c r="H802">
        <v>188</v>
      </c>
    </row>
    <row r="803" spans="4:8" x14ac:dyDescent="0.2">
      <c r="D803" s="22">
        <v>45909</v>
      </c>
      <c r="E803">
        <v>202</v>
      </c>
      <c r="F803">
        <v>190</v>
      </c>
      <c r="H803">
        <v>188</v>
      </c>
    </row>
    <row r="804" spans="4:8" x14ac:dyDescent="0.2">
      <c r="D804" s="22">
        <v>45910</v>
      </c>
      <c r="E804">
        <v>197</v>
      </c>
      <c r="F804">
        <v>190</v>
      </c>
      <c r="H804">
        <v>190</v>
      </c>
    </row>
    <row r="805" spans="4:8" x14ac:dyDescent="0.2">
      <c r="D805" s="22">
        <v>45911</v>
      </c>
      <c r="E805">
        <v>190</v>
      </c>
      <c r="F805">
        <v>190</v>
      </c>
      <c r="H805">
        <v>192</v>
      </c>
    </row>
    <row r="806" spans="4:8" x14ac:dyDescent="0.2">
      <c r="D806" s="22">
        <v>45912</v>
      </c>
      <c r="E806">
        <v>210</v>
      </c>
      <c r="F806">
        <v>191</v>
      </c>
      <c r="H806">
        <v>195</v>
      </c>
    </row>
    <row r="807" spans="4:8" x14ac:dyDescent="0.2">
      <c r="D807" s="22">
        <v>45913</v>
      </c>
      <c r="E807">
        <v>196</v>
      </c>
      <c r="F807">
        <v>191</v>
      </c>
      <c r="H807">
        <v>197</v>
      </c>
    </row>
    <row r="808" spans="4:8" x14ac:dyDescent="0.2">
      <c r="D808" s="22">
        <v>45914</v>
      </c>
      <c r="E808">
        <v>192</v>
      </c>
      <c r="F808">
        <v>191</v>
      </c>
      <c r="H808">
        <v>196</v>
      </c>
    </row>
    <row r="809" spans="4:8" x14ac:dyDescent="0.2">
      <c r="D809" s="22">
        <v>45915</v>
      </c>
      <c r="E809">
        <v>177</v>
      </c>
      <c r="F809">
        <v>191</v>
      </c>
      <c r="H809">
        <v>195</v>
      </c>
    </row>
    <row r="810" spans="4:8" x14ac:dyDescent="0.2">
      <c r="D810" s="22">
        <v>45916</v>
      </c>
      <c r="E810">
        <v>177</v>
      </c>
      <c r="F810">
        <v>190</v>
      </c>
      <c r="H810">
        <v>191</v>
      </c>
    </row>
    <row r="811" spans="4:8" x14ac:dyDescent="0.2">
      <c r="D811" s="22">
        <v>45917</v>
      </c>
      <c r="E811">
        <v>180</v>
      </c>
      <c r="F811">
        <v>190</v>
      </c>
      <c r="H811">
        <v>189</v>
      </c>
    </row>
    <row r="812" spans="4:8" x14ac:dyDescent="0.2">
      <c r="D812" s="22">
        <v>45918</v>
      </c>
      <c r="E812">
        <v>198</v>
      </c>
      <c r="F812">
        <v>190</v>
      </c>
      <c r="H812">
        <v>190</v>
      </c>
    </row>
    <row r="813" spans="4:8" x14ac:dyDescent="0.2">
      <c r="D813" s="22">
        <v>45919</v>
      </c>
      <c r="E813">
        <v>190</v>
      </c>
      <c r="F813">
        <v>190</v>
      </c>
      <c r="H813">
        <v>187</v>
      </c>
    </row>
    <row r="814" spans="4:8" x14ac:dyDescent="0.2">
      <c r="D814" s="22">
        <v>45920</v>
      </c>
      <c r="E814">
        <v>177</v>
      </c>
      <c r="F814">
        <v>190</v>
      </c>
      <c r="H814">
        <v>184</v>
      </c>
    </row>
    <row r="815" spans="4:8" x14ac:dyDescent="0.2">
      <c r="D815" s="22">
        <v>45921</v>
      </c>
      <c r="E815">
        <v>199</v>
      </c>
      <c r="F815">
        <v>190</v>
      </c>
      <c r="H815">
        <v>185</v>
      </c>
    </row>
    <row r="816" spans="4:8" x14ac:dyDescent="0.2">
      <c r="D816" s="22">
        <v>45922</v>
      </c>
      <c r="E816">
        <v>174</v>
      </c>
      <c r="F816">
        <v>190</v>
      </c>
      <c r="H816">
        <v>185</v>
      </c>
    </row>
    <row r="817" spans="4:8" x14ac:dyDescent="0.2">
      <c r="D817" s="22">
        <v>45923</v>
      </c>
      <c r="E817">
        <v>189</v>
      </c>
      <c r="F817">
        <v>190</v>
      </c>
      <c r="H817">
        <v>187</v>
      </c>
    </row>
    <row r="818" spans="4:8" x14ac:dyDescent="0.2">
      <c r="D818" s="22">
        <v>45924</v>
      </c>
      <c r="E818">
        <v>180</v>
      </c>
      <c r="F818">
        <v>190</v>
      </c>
      <c r="H818">
        <v>187</v>
      </c>
    </row>
    <row r="819" spans="4:8" x14ac:dyDescent="0.2">
      <c r="D819" s="22">
        <v>45925</v>
      </c>
      <c r="E819">
        <v>200</v>
      </c>
      <c r="F819">
        <v>190</v>
      </c>
      <c r="H819">
        <v>187</v>
      </c>
    </row>
    <row r="820" spans="4:8" x14ac:dyDescent="0.2">
      <c r="D820" s="22">
        <v>45926</v>
      </c>
      <c r="E820">
        <v>199</v>
      </c>
      <c r="F820">
        <v>190</v>
      </c>
      <c r="H820">
        <v>188</v>
      </c>
    </row>
    <row r="821" spans="4:8" x14ac:dyDescent="0.2">
      <c r="D821" s="22">
        <v>45927</v>
      </c>
      <c r="E821">
        <v>212</v>
      </c>
      <c r="F821">
        <v>190</v>
      </c>
      <c r="H821">
        <v>193</v>
      </c>
    </row>
    <row r="822" spans="4:8" x14ac:dyDescent="0.2">
      <c r="D822" s="22">
        <v>45928</v>
      </c>
      <c r="E822">
        <v>187</v>
      </c>
      <c r="F822">
        <v>190</v>
      </c>
      <c r="H822">
        <v>192</v>
      </c>
    </row>
    <row r="823" spans="4:8" x14ac:dyDescent="0.2">
      <c r="D823" s="22">
        <v>45929</v>
      </c>
      <c r="E823">
        <v>188</v>
      </c>
      <c r="F823">
        <v>190</v>
      </c>
      <c r="H823">
        <v>194</v>
      </c>
    </row>
    <row r="824" spans="4:8" x14ac:dyDescent="0.2">
      <c r="D824" s="22">
        <v>45930</v>
      </c>
      <c r="E824">
        <v>202</v>
      </c>
      <c r="F824">
        <v>190</v>
      </c>
      <c r="H824">
        <v>195</v>
      </c>
    </row>
    <row r="825" spans="4:8" x14ac:dyDescent="0.2">
      <c r="D825" s="22">
        <v>45931</v>
      </c>
      <c r="E825">
        <v>213</v>
      </c>
      <c r="F825">
        <v>191</v>
      </c>
      <c r="H825">
        <v>200</v>
      </c>
    </row>
    <row r="826" spans="4:8" x14ac:dyDescent="0.2">
      <c r="D826" s="22">
        <v>45932</v>
      </c>
      <c r="E826">
        <v>173</v>
      </c>
      <c r="F826">
        <v>191</v>
      </c>
      <c r="H826">
        <v>196</v>
      </c>
    </row>
    <row r="827" spans="4:8" x14ac:dyDescent="0.2">
      <c r="D827" s="22">
        <v>45933</v>
      </c>
      <c r="E827">
        <v>170</v>
      </c>
      <c r="F827">
        <v>190</v>
      </c>
      <c r="H827">
        <v>192</v>
      </c>
    </row>
    <row r="828" spans="4:8" x14ac:dyDescent="0.2">
      <c r="D828" s="22">
        <v>45934</v>
      </c>
      <c r="E828">
        <v>203</v>
      </c>
      <c r="F828">
        <v>190</v>
      </c>
      <c r="H828">
        <v>191</v>
      </c>
    </row>
    <row r="829" spans="4:8" x14ac:dyDescent="0.2">
      <c r="D829" s="22">
        <v>45935</v>
      </c>
      <c r="E829">
        <v>179</v>
      </c>
      <c r="F829">
        <v>190</v>
      </c>
      <c r="H829">
        <v>190</v>
      </c>
    </row>
    <row r="830" spans="4:8" x14ac:dyDescent="0.2">
      <c r="D830" s="22">
        <v>45936</v>
      </c>
      <c r="E830">
        <v>201</v>
      </c>
      <c r="F830">
        <v>190</v>
      </c>
      <c r="H830">
        <v>192</v>
      </c>
    </row>
    <row r="831" spans="4:8" x14ac:dyDescent="0.2">
      <c r="D831" s="22">
        <v>45937</v>
      </c>
      <c r="E831">
        <v>170</v>
      </c>
      <c r="F831">
        <v>190</v>
      </c>
      <c r="H831">
        <v>187</v>
      </c>
    </row>
    <row r="832" spans="4:8" x14ac:dyDescent="0.2">
      <c r="D832" s="22">
        <v>45938</v>
      </c>
      <c r="E832">
        <v>183</v>
      </c>
      <c r="F832">
        <v>190</v>
      </c>
      <c r="H832">
        <v>183</v>
      </c>
    </row>
    <row r="833" spans="4:8" x14ac:dyDescent="0.2">
      <c r="D833" s="22">
        <v>45939</v>
      </c>
      <c r="E833">
        <v>206</v>
      </c>
      <c r="F833">
        <v>190</v>
      </c>
      <c r="H833">
        <v>187</v>
      </c>
    </row>
    <row r="834" spans="4:8" x14ac:dyDescent="0.2">
      <c r="D834" s="22">
        <v>45940</v>
      </c>
      <c r="E834">
        <v>192</v>
      </c>
      <c r="F834">
        <v>190</v>
      </c>
      <c r="H834">
        <v>191</v>
      </c>
    </row>
    <row r="835" spans="4:8" x14ac:dyDescent="0.2">
      <c r="D835" s="22">
        <v>45941</v>
      </c>
      <c r="E835">
        <v>199</v>
      </c>
      <c r="F835">
        <v>190</v>
      </c>
      <c r="H835">
        <v>190</v>
      </c>
    </row>
    <row r="836" spans="4:8" x14ac:dyDescent="0.2">
      <c r="D836" s="22">
        <v>45942</v>
      </c>
      <c r="E836">
        <v>190</v>
      </c>
      <c r="F836">
        <v>190</v>
      </c>
      <c r="H836">
        <v>192</v>
      </c>
    </row>
    <row r="837" spans="4:8" x14ac:dyDescent="0.2">
      <c r="D837" s="22">
        <v>45943</v>
      </c>
      <c r="E837">
        <v>184</v>
      </c>
      <c r="F837">
        <v>190</v>
      </c>
      <c r="H837">
        <v>189</v>
      </c>
    </row>
    <row r="838" spans="4:8" x14ac:dyDescent="0.2">
      <c r="D838" s="22">
        <v>45944</v>
      </c>
      <c r="E838">
        <v>198</v>
      </c>
      <c r="F838">
        <v>190</v>
      </c>
      <c r="H838">
        <v>193</v>
      </c>
    </row>
    <row r="839" spans="4:8" x14ac:dyDescent="0.2">
      <c r="D839" s="22">
        <v>45945</v>
      </c>
      <c r="E839">
        <v>189</v>
      </c>
      <c r="F839">
        <v>190</v>
      </c>
      <c r="H839">
        <v>194</v>
      </c>
    </row>
    <row r="840" spans="4:8" x14ac:dyDescent="0.2">
      <c r="D840" s="22">
        <v>45946</v>
      </c>
      <c r="E840">
        <v>183</v>
      </c>
      <c r="F840">
        <v>190</v>
      </c>
      <c r="H840">
        <v>191</v>
      </c>
    </row>
    <row r="841" spans="4:8" x14ac:dyDescent="0.2">
      <c r="D841" s="22">
        <v>45947</v>
      </c>
      <c r="E841">
        <v>216</v>
      </c>
      <c r="F841">
        <v>191</v>
      </c>
      <c r="H841">
        <v>194</v>
      </c>
    </row>
    <row r="842" spans="4:8" x14ac:dyDescent="0.2">
      <c r="D842" s="22">
        <v>45948</v>
      </c>
      <c r="E842">
        <v>184</v>
      </c>
      <c r="F842">
        <v>190</v>
      </c>
      <c r="H842">
        <v>192</v>
      </c>
    </row>
    <row r="843" spans="4:8" x14ac:dyDescent="0.2">
      <c r="D843" s="22">
        <v>45949</v>
      </c>
      <c r="E843">
        <v>176</v>
      </c>
      <c r="F843">
        <v>190</v>
      </c>
      <c r="H843">
        <v>190</v>
      </c>
    </row>
    <row r="844" spans="4:8" x14ac:dyDescent="0.2">
      <c r="D844" s="22">
        <v>45950</v>
      </c>
      <c r="E844">
        <v>172</v>
      </c>
      <c r="F844">
        <v>190</v>
      </c>
      <c r="H844">
        <v>188</v>
      </c>
    </row>
    <row r="845" spans="4:8" x14ac:dyDescent="0.2">
      <c r="D845" s="22">
        <v>45951</v>
      </c>
      <c r="E845">
        <v>203</v>
      </c>
      <c r="F845">
        <v>190</v>
      </c>
      <c r="H845">
        <v>189</v>
      </c>
    </row>
    <row r="846" spans="4:8" x14ac:dyDescent="0.2">
      <c r="D846" s="22">
        <v>45952</v>
      </c>
      <c r="E846">
        <v>187</v>
      </c>
      <c r="F846">
        <v>190</v>
      </c>
      <c r="H846">
        <v>189</v>
      </c>
    </row>
    <row r="847" spans="4:8" x14ac:dyDescent="0.2">
      <c r="D847" s="22">
        <v>45953</v>
      </c>
      <c r="E847">
        <v>195</v>
      </c>
      <c r="F847">
        <v>190</v>
      </c>
      <c r="H847">
        <v>190</v>
      </c>
    </row>
    <row r="848" spans="4:8" x14ac:dyDescent="0.2">
      <c r="D848" s="22">
        <v>45954</v>
      </c>
      <c r="E848">
        <v>207</v>
      </c>
      <c r="F848">
        <v>190</v>
      </c>
      <c r="H848">
        <v>189</v>
      </c>
    </row>
    <row r="849" spans="4:8" x14ac:dyDescent="0.2">
      <c r="D849" s="22">
        <v>45955</v>
      </c>
      <c r="E849">
        <v>199</v>
      </c>
      <c r="F849">
        <v>191</v>
      </c>
      <c r="H849">
        <v>191</v>
      </c>
    </row>
    <row r="850" spans="4:8" x14ac:dyDescent="0.2">
      <c r="D850" s="22">
        <v>45956</v>
      </c>
      <c r="E850">
        <v>185</v>
      </c>
      <c r="F850">
        <v>190</v>
      </c>
      <c r="H850">
        <v>193</v>
      </c>
    </row>
    <row r="851" spans="4:8" x14ac:dyDescent="0.2">
      <c r="D851" s="22">
        <v>45957</v>
      </c>
      <c r="E851">
        <v>201</v>
      </c>
      <c r="F851">
        <v>191</v>
      </c>
      <c r="H851">
        <v>197</v>
      </c>
    </row>
    <row r="852" spans="4:8" x14ac:dyDescent="0.2">
      <c r="D852" s="22">
        <v>45958</v>
      </c>
      <c r="E852">
        <v>199</v>
      </c>
      <c r="F852">
        <v>191</v>
      </c>
      <c r="H852">
        <v>196</v>
      </c>
    </row>
    <row r="853" spans="4:8" x14ac:dyDescent="0.2">
      <c r="D853" s="22">
        <v>45959</v>
      </c>
      <c r="E853">
        <v>157</v>
      </c>
      <c r="F853">
        <v>190</v>
      </c>
      <c r="H853">
        <v>192</v>
      </c>
    </row>
    <row r="854" spans="4:8" x14ac:dyDescent="0.2">
      <c r="D854" s="22">
        <v>45960</v>
      </c>
      <c r="E854">
        <v>198</v>
      </c>
      <c r="F854">
        <v>190</v>
      </c>
      <c r="H854">
        <v>192</v>
      </c>
    </row>
    <row r="855" spans="4:8" x14ac:dyDescent="0.2">
      <c r="D855" s="22">
        <v>45961</v>
      </c>
      <c r="E855">
        <v>203</v>
      </c>
      <c r="F855">
        <v>191</v>
      </c>
      <c r="H855">
        <v>192</v>
      </c>
    </row>
    <row r="856" spans="4:8" x14ac:dyDescent="0.2">
      <c r="D856" s="22">
        <v>45962</v>
      </c>
      <c r="E856">
        <v>195</v>
      </c>
      <c r="F856">
        <v>191</v>
      </c>
      <c r="H856">
        <v>191</v>
      </c>
    </row>
    <row r="857" spans="4:8" x14ac:dyDescent="0.2">
      <c r="D857" s="22">
        <v>45963</v>
      </c>
      <c r="E857">
        <v>171</v>
      </c>
      <c r="F857">
        <v>190</v>
      </c>
      <c r="H857">
        <v>189</v>
      </c>
    </row>
    <row r="858" spans="4:8" x14ac:dyDescent="0.2">
      <c r="D858" s="22">
        <v>45964</v>
      </c>
      <c r="E858">
        <v>169</v>
      </c>
      <c r="F858">
        <v>190</v>
      </c>
      <c r="H858">
        <v>185</v>
      </c>
    </row>
    <row r="859" spans="4:8" x14ac:dyDescent="0.2">
      <c r="D859" s="22">
        <v>45965</v>
      </c>
      <c r="E859">
        <v>202</v>
      </c>
      <c r="F859">
        <v>190</v>
      </c>
      <c r="H859">
        <v>185</v>
      </c>
    </row>
    <row r="860" spans="4:8" x14ac:dyDescent="0.2">
      <c r="D860" s="22">
        <v>45966</v>
      </c>
      <c r="E860">
        <v>175</v>
      </c>
      <c r="F860">
        <v>190</v>
      </c>
      <c r="H860">
        <v>188</v>
      </c>
    </row>
    <row r="861" spans="4:8" x14ac:dyDescent="0.2">
      <c r="D861" s="22">
        <v>45967</v>
      </c>
      <c r="E861">
        <v>182</v>
      </c>
      <c r="F861">
        <v>190</v>
      </c>
      <c r="H861">
        <v>185</v>
      </c>
    </row>
    <row r="862" spans="4:8" x14ac:dyDescent="0.2">
      <c r="D862" s="22">
        <v>45968</v>
      </c>
      <c r="E862">
        <v>196</v>
      </c>
      <c r="F862">
        <v>190</v>
      </c>
      <c r="H862">
        <v>184</v>
      </c>
    </row>
    <row r="863" spans="4:8" x14ac:dyDescent="0.2">
      <c r="D863" s="22">
        <v>45969</v>
      </c>
      <c r="E863">
        <v>211</v>
      </c>
      <c r="F863">
        <v>190</v>
      </c>
      <c r="H863">
        <v>187</v>
      </c>
    </row>
    <row r="864" spans="4:8" x14ac:dyDescent="0.2">
      <c r="D864" s="22">
        <v>45970</v>
      </c>
      <c r="E864">
        <v>169</v>
      </c>
      <c r="F864">
        <v>190</v>
      </c>
      <c r="H864">
        <v>186</v>
      </c>
    </row>
    <row r="865" spans="4:8" x14ac:dyDescent="0.2">
      <c r="D865" s="22">
        <v>45971</v>
      </c>
      <c r="E865">
        <v>193</v>
      </c>
      <c r="F865">
        <v>190</v>
      </c>
      <c r="H865">
        <v>190</v>
      </c>
    </row>
    <row r="866" spans="4:8" x14ac:dyDescent="0.2">
      <c r="D866" s="22">
        <v>45972</v>
      </c>
      <c r="E866">
        <v>200</v>
      </c>
      <c r="F866">
        <v>190</v>
      </c>
      <c r="H866">
        <v>189</v>
      </c>
    </row>
    <row r="867" spans="4:8" x14ac:dyDescent="0.2">
      <c r="D867" s="22">
        <v>45973</v>
      </c>
      <c r="E867">
        <v>173</v>
      </c>
      <c r="F867">
        <v>190</v>
      </c>
      <c r="H867">
        <v>189</v>
      </c>
    </row>
    <row r="868" spans="4:8" x14ac:dyDescent="0.2">
      <c r="D868" s="22">
        <v>45974</v>
      </c>
      <c r="E868">
        <v>180</v>
      </c>
      <c r="F868">
        <v>190</v>
      </c>
      <c r="H868">
        <v>189</v>
      </c>
    </row>
    <row r="869" spans="4:8" x14ac:dyDescent="0.2">
      <c r="D869" s="22">
        <v>45975</v>
      </c>
      <c r="E869">
        <v>181</v>
      </c>
      <c r="F869">
        <v>190</v>
      </c>
      <c r="H869">
        <v>187</v>
      </c>
    </row>
    <row r="870" spans="4:8" x14ac:dyDescent="0.2">
      <c r="D870" s="22">
        <v>45976</v>
      </c>
      <c r="E870">
        <v>194</v>
      </c>
      <c r="F870">
        <v>190</v>
      </c>
      <c r="H870">
        <v>184</v>
      </c>
    </row>
    <row r="871" spans="4:8" x14ac:dyDescent="0.2">
      <c r="D871" s="22">
        <v>45977</v>
      </c>
      <c r="E871">
        <v>173</v>
      </c>
      <c r="F871">
        <v>190</v>
      </c>
      <c r="H871">
        <v>185</v>
      </c>
    </row>
    <row r="872" spans="4:8" x14ac:dyDescent="0.2">
      <c r="D872" s="22">
        <v>45978</v>
      </c>
      <c r="E872">
        <v>183</v>
      </c>
      <c r="F872">
        <v>190</v>
      </c>
      <c r="H872">
        <v>183</v>
      </c>
    </row>
    <row r="873" spans="4:8" x14ac:dyDescent="0.2">
      <c r="D873" s="22">
        <v>45979</v>
      </c>
      <c r="E873">
        <v>191</v>
      </c>
      <c r="F873">
        <v>190</v>
      </c>
      <c r="H873">
        <v>182</v>
      </c>
    </row>
    <row r="874" spans="4:8" x14ac:dyDescent="0.2">
      <c r="D874" s="22">
        <v>45980</v>
      </c>
      <c r="E874">
        <v>180</v>
      </c>
      <c r="F874">
        <v>190</v>
      </c>
      <c r="H874">
        <v>183</v>
      </c>
    </row>
    <row r="875" spans="4:8" x14ac:dyDescent="0.2">
      <c r="D875" s="22">
        <v>45981</v>
      </c>
      <c r="E875">
        <v>199</v>
      </c>
      <c r="F875">
        <v>190</v>
      </c>
      <c r="H875">
        <v>186</v>
      </c>
    </row>
    <row r="876" spans="4:8" x14ac:dyDescent="0.2">
      <c r="D876" s="22">
        <v>45982</v>
      </c>
      <c r="E876">
        <v>188</v>
      </c>
      <c r="F876">
        <v>190</v>
      </c>
      <c r="H876">
        <v>187</v>
      </c>
    </row>
    <row r="877" spans="4:8" x14ac:dyDescent="0.2">
      <c r="D877" s="22">
        <v>45983</v>
      </c>
      <c r="E877">
        <v>197</v>
      </c>
      <c r="F877">
        <v>190</v>
      </c>
      <c r="H877">
        <v>187</v>
      </c>
    </row>
    <row r="878" spans="4:8" x14ac:dyDescent="0.2">
      <c r="D878" s="22">
        <v>45984</v>
      </c>
      <c r="E878">
        <v>189</v>
      </c>
      <c r="F878">
        <v>190</v>
      </c>
      <c r="H878">
        <v>190</v>
      </c>
    </row>
    <row r="879" spans="4:8" x14ac:dyDescent="0.2">
      <c r="D879" s="22">
        <v>45985</v>
      </c>
      <c r="E879">
        <v>199</v>
      </c>
      <c r="F879">
        <v>190</v>
      </c>
      <c r="H879">
        <v>192</v>
      </c>
    </row>
    <row r="880" spans="4:8" x14ac:dyDescent="0.2">
      <c r="D880" s="22">
        <v>45986</v>
      </c>
      <c r="E880">
        <v>198</v>
      </c>
      <c r="F880">
        <v>190</v>
      </c>
      <c r="H880">
        <v>193</v>
      </c>
    </row>
    <row r="881" spans="4:8" x14ac:dyDescent="0.2">
      <c r="D881" s="22">
        <v>45987</v>
      </c>
      <c r="E881">
        <v>174</v>
      </c>
      <c r="F881">
        <v>190</v>
      </c>
      <c r="H881">
        <v>192</v>
      </c>
    </row>
    <row r="882" spans="4:8" x14ac:dyDescent="0.2">
      <c r="D882" s="22">
        <v>45988</v>
      </c>
      <c r="E882">
        <v>222</v>
      </c>
      <c r="F882">
        <v>190</v>
      </c>
      <c r="H882">
        <v>195</v>
      </c>
    </row>
    <row r="883" spans="4:8" x14ac:dyDescent="0.2">
      <c r="D883" s="22">
        <v>45989</v>
      </c>
      <c r="E883">
        <v>202</v>
      </c>
      <c r="F883">
        <v>190</v>
      </c>
      <c r="H883">
        <v>197</v>
      </c>
    </row>
    <row r="884" spans="4:8" x14ac:dyDescent="0.2">
      <c r="D884" s="22">
        <v>45990</v>
      </c>
      <c r="E884">
        <v>196</v>
      </c>
      <c r="F884">
        <v>190</v>
      </c>
      <c r="H884">
        <v>197</v>
      </c>
    </row>
    <row r="885" spans="4:8" x14ac:dyDescent="0.2">
      <c r="D885" s="22">
        <v>45991</v>
      </c>
      <c r="E885">
        <v>176</v>
      </c>
      <c r="F885">
        <v>190</v>
      </c>
      <c r="H885">
        <v>195</v>
      </c>
    </row>
    <row r="886" spans="4:8" x14ac:dyDescent="0.2">
      <c r="D886" s="22">
        <v>45992</v>
      </c>
      <c r="E886">
        <v>187</v>
      </c>
      <c r="F886">
        <v>190</v>
      </c>
      <c r="H886">
        <v>194</v>
      </c>
    </row>
    <row r="887" spans="4:8" x14ac:dyDescent="0.2">
      <c r="D887" s="22">
        <v>45993</v>
      </c>
      <c r="E887">
        <v>198</v>
      </c>
      <c r="F887">
        <v>190</v>
      </c>
      <c r="H887">
        <v>194</v>
      </c>
    </row>
    <row r="888" spans="4:8" x14ac:dyDescent="0.2">
      <c r="D888" s="22">
        <v>45994</v>
      </c>
      <c r="E888">
        <v>177</v>
      </c>
      <c r="F888">
        <v>190</v>
      </c>
      <c r="H888">
        <v>194</v>
      </c>
    </row>
    <row r="889" spans="4:8" x14ac:dyDescent="0.2">
      <c r="D889" s="22">
        <v>45995</v>
      </c>
      <c r="E889">
        <v>187</v>
      </c>
      <c r="F889">
        <v>190</v>
      </c>
      <c r="H889">
        <v>189</v>
      </c>
    </row>
    <row r="890" spans="4:8" x14ac:dyDescent="0.2">
      <c r="D890" s="22">
        <v>45996</v>
      </c>
      <c r="E890">
        <v>222</v>
      </c>
      <c r="F890">
        <v>190</v>
      </c>
      <c r="H890">
        <v>192</v>
      </c>
    </row>
    <row r="891" spans="4:8" x14ac:dyDescent="0.2">
      <c r="D891" s="22">
        <v>45997</v>
      </c>
      <c r="E891">
        <v>210</v>
      </c>
      <c r="F891">
        <v>190</v>
      </c>
      <c r="H891">
        <v>194</v>
      </c>
    </row>
    <row r="892" spans="4:8" x14ac:dyDescent="0.2">
      <c r="D892" s="22">
        <v>45998</v>
      </c>
      <c r="E892">
        <v>204</v>
      </c>
      <c r="F892">
        <v>190</v>
      </c>
      <c r="H892">
        <v>198</v>
      </c>
    </row>
    <row r="893" spans="4:8" x14ac:dyDescent="0.2">
      <c r="D893" s="22">
        <v>45999</v>
      </c>
      <c r="E893">
        <v>195</v>
      </c>
      <c r="F893">
        <v>191</v>
      </c>
      <c r="H893">
        <v>199</v>
      </c>
    </row>
    <row r="894" spans="4:8" x14ac:dyDescent="0.2">
      <c r="D894" s="22">
        <v>46000</v>
      </c>
      <c r="E894">
        <v>174</v>
      </c>
      <c r="F894">
        <v>190</v>
      </c>
      <c r="H894">
        <v>196</v>
      </c>
    </row>
    <row r="895" spans="4:8" x14ac:dyDescent="0.2">
      <c r="D895" s="22">
        <v>46001</v>
      </c>
      <c r="E895">
        <v>183</v>
      </c>
      <c r="F895">
        <v>190</v>
      </c>
      <c r="H895">
        <v>196</v>
      </c>
    </row>
    <row r="896" spans="4:8" x14ac:dyDescent="0.2">
      <c r="D896" s="22">
        <v>46002</v>
      </c>
      <c r="E896">
        <v>171</v>
      </c>
      <c r="F896">
        <v>190</v>
      </c>
      <c r="H896">
        <v>194</v>
      </c>
    </row>
    <row r="897" spans="4:8" x14ac:dyDescent="0.2">
      <c r="D897" s="22">
        <v>46003</v>
      </c>
      <c r="E897">
        <v>185</v>
      </c>
      <c r="F897">
        <v>190</v>
      </c>
      <c r="H897">
        <v>189</v>
      </c>
    </row>
    <row r="898" spans="4:8" x14ac:dyDescent="0.2">
      <c r="D898" s="22">
        <v>46004</v>
      </c>
      <c r="E898">
        <v>197</v>
      </c>
      <c r="F898">
        <v>190</v>
      </c>
      <c r="H898">
        <v>187</v>
      </c>
    </row>
    <row r="899" spans="4:8" x14ac:dyDescent="0.2">
      <c r="D899" s="22">
        <v>46005</v>
      </c>
      <c r="E899">
        <v>193</v>
      </c>
      <c r="F899">
        <v>190</v>
      </c>
      <c r="H899">
        <v>185</v>
      </c>
    </row>
    <row r="900" spans="4:8" x14ac:dyDescent="0.2">
      <c r="D900" s="22">
        <v>46006</v>
      </c>
      <c r="E900">
        <v>179</v>
      </c>
      <c r="F900">
        <v>190</v>
      </c>
      <c r="H900">
        <v>183</v>
      </c>
    </row>
    <row r="901" spans="4:8" x14ac:dyDescent="0.2">
      <c r="D901" s="22">
        <v>46007</v>
      </c>
      <c r="E901">
        <v>208</v>
      </c>
      <c r="F901">
        <v>190</v>
      </c>
      <c r="H901">
        <v>188</v>
      </c>
    </row>
    <row r="902" spans="4:8" x14ac:dyDescent="0.2">
      <c r="D902" s="22">
        <v>46008</v>
      </c>
      <c r="E902">
        <v>179</v>
      </c>
      <c r="F902">
        <v>190</v>
      </c>
      <c r="H902">
        <v>187</v>
      </c>
    </row>
    <row r="903" spans="4:8" x14ac:dyDescent="0.2">
      <c r="D903" s="22">
        <v>46009</v>
      </c>
      <c r="E903">
        <v>186</v>
      </c>
      <c r="F903">
        <v>190</v>
      </c>
      <c r="H903">
        <v>190</v>
      </c>
    </row>
    <row r="904" spans="4:8" x14ac:dyDescent="0.2">
      <c r="D904" s="22">
        <v>46010</v>
      </c>
      <c r="E904">
        <v>198</v>
      </c>
      <c r="F904">
        <v>190</v>
      </c>
      <c r="H904">
        <v>191</v>
      </c>
    </row>
    <row r="905" spans="4:8" x14ac:dyDescent="0.2">
      <c r="D905" s="22">
        <v>46011</v>
      </c>
      <c r="E905">
        <v>209</v>
      </c>
      <c r="F905">
        <v>190</v>
      </c>
      <c r="H905">
        <v>193</v>
      </c>
    </row>
    <row r="906" spans="4:8" x14ac:dyDescent="0.2">
      <c r="D906" s="22">
        <v>46012</v>
      </c>
      <c r="E906">
        <v>168</v>
      </c>
      <c r="F906">
        <v>190</v>
      </c>
      <c r="H906">
        <v>190</v>
      </c>
    </row>
    <row r="907" spans="4:8" x14ac:dyDescent="0.2">
      <c r="D907" s="22">
        <v>46013</v>
      </c>
      <c r="E907">
        <v>184</v>
      </c>
      <c r="F907">
        <v>190</v>
      </c>
      <c r="H907">
        <v>190</v>
      </c>
    </row>
    <row r="908" spans="4:8" x14ac:dyDescent="0.2">
      <c r="D908" s="22">
        <v>46014</v>
      </c>
      <c r="E908">
        <v>187</v>
      </c>
      <c r="F908">
        <v>190</v>
      </c>
      <c r="H908">
        <v>187</v>
      </c>
    </row>
    <row r="909" spans="4:8" x14ac:dyDescent="0.2">
      <c r="D909" s="22">
        <v>46015</v>
      </c>
      <c r="E909">
        <v>200</v>
      </c>
      <c r="F909">
        <v>190</v>
      </c>
      <c r="H909">
        <v>190</v>
      </c>
    </row>
    <row r="910" spans="4:8" x14ac:dyDescent="0.2">
      <c r="D910" s="22">
        <v>46016</v>
      </c>
      <c r="E910">
        <v>198</v>
      </c>
      <c r="F910">
        <v>190</v>
      </c>
      <c r="H910">
        <v>192</v>
      </c>
    </row>
    <row r="911" spans="4:8" x14ac:dyDescent="0.2">
      <c r="D911" s="22">
        <v>46017</v>
      </c>
      <c r="E911">
        <v>206</v>
      </c>
      <c r="F911">
        <v>190</v>
      </c>
      <c r="H911">
        <v>193</v>
      </c>
    </row>
    <row r="912" spans="4:8" x14ac:dyDescent="0.2">
      <c r="D912" s="22">
        <v>46018</v>
      </c>
      <c r="E912">
        <v>175</v>
      </c>
      <c r="F912">
        <v>190</v>
      </c>
      <c r="H912">
        <v>188</v>
      </c>
    </row>
    <row r="913" spans="4:8" x14ac:dyDescent="0.2">
      <c r="D913" s="22">
        <v>46019</v>
      </c>
      <c r="E913">
        <v>203</v>
      </c>
      <c r="F913">
        <v>190</v>
      </c>
      <c r="H913">
        <v>193</v>
      </c>
    </row>
    <row r="914" spans="4:8" x14ac:dyDescent="0.2">
      <c r="D914" s="22">
        <v>46020</v>
      </c>
      <c r="E914">
        <v>201</v>
      </c>
      <c r="F914">
        <v>190</v>
      </c>
      <c r="H914">
        <v>196</v>
      </c>
    </row>
    <row r="915" spans="4:8" x14ac:dyDescent="0.2">
      <c r="D915" s="22">
        <v>46021</v>
      </c>
      <c r="E915">
        <v>218</v>
      </c>
      <c r="F915">
        <v>191</v>
      </c>
      <c r="H915">
        <v>200</v>
      </c>
    </row>
    <row r="916" spans="4:8" x14ac:dyDescent="0.2">
      <c r="D916" s="22">
        <v>46022</v>
      </c>
      <c r="E916">
        <v>174</v>
      </c>
      <c r="F916">
        <v>190</v>
      </c>
      <c r="H916">
        <v>196</v>
      </c>
    </row>
    <row r="917" spans="4:8" x14ac:dyDescent="0.2">
      <c r="D917" s="22">
        <v>46023</v>
      </c>
      <c r="E917">
        <v>194</v>
      </c>
      <c r="F917">
        <v>191</v>
      </c>
      <c r="H917">
        <v>196</v>
      </c>
    </row>
    <row r="918" spans="4:8" x14ac:dyDescent="0.2">
      <c r="D918" s="22">
        <v>46024</v>
      </c>
      <c r="E918">
        <v>187</v>
      </c>
      <c r="F918">
        <v>190</v>
      </c>
      <c r="H918">
        <v>193</v>
      </c>
    </row>
    <row r="919" spans="4:8" x14ac:dyDescent="0.2">
      <c r="D919" s="22">
        <v>46025</v>
      </c>
      <c r="E919">
        <v>196</v>
      </c>
      <c r="F919">
        <v>191</v>
      </c>
      <c r="H919">
        <v>196</v>
      </c>
    </row>
    <row r="920" spans="4:8" x14ac:dyDescent="0.2">
      <c r="D920" s="22">
        <v>46026</v>
      </c>
      <c r="E920">
        <v>197</v>
      </c>
      <c r="F920">
        <v>191</v>
      </c>
      <c r="H920">
        <v>195</v>
      </c>
    </row>
    <row r="921" spans="4:8" x14ac:dyDescent="0.2">
      <c r="D921" s="22">
        <v>46027</v>
      </c>
      <c r="E921">
        <v>185</v>
      </c>
      <c r="F921">
        <v>191</v>
      </c>
      <c r="H921">
        <v>193</v>
      </c>
    </row>
    <row r="922" spans="4:8" x14ac:dyDescent="0.2">
      <c r="D922" s="22">
        <v>46028</v>
      </c>
      <c r="E922">
        <v>174</v>
      </c>
      <c r="F922">
        <v>190</v>
      </c>
      <c r="H922">
        <v>187</v>
      </c>
    </row>
    <row r="923" spans="4:8" x14ac:dyDescent="0.2">
      <c r="D923" s="22">
        <v>46029</v>
      </c>
      <c r="E923">
        <v>196</v>
      </c>
      <c r="F923">
        <v>190</v>
      </c>
      <c r="H923">
        <v>190</v>
      </c>
    </row>
    <row r="924" spans="4:8" x14ac:dyDescent="0.2">
      <c r="D924" s="22">
        <v>46030</v>
      </c>
      <c r="E924">
        <v>183</v>
      </c>
      <c r="F924">
        <v>190</v>
      </c>
      <c r="H924">
        <v>188</v>
      </c>
    </row>
    <row r="925" spans="4:8" x14ac:dyDescent="0.2">
      <c r="D925" s="22">
        <v>46031</v>
      </c>
      <c r="E925">
        <v>182</v>
      </c>
      <c r="F925">
        <v>190</v>
      </c>
      <c r="H925">
        <v>188</v>
      </c>
    </row>
    <row r="926" spans="4:8" x14ac:dyDescent="0.2">
      <c r="D926" s="22">
        <v>46032</v>
      </c>
      <c r="E926">
        <v>173</v>
      </c>
      <c r="F926">
        <v>190</v>
      </c>
      <c r="H926">
        <v>184</v>
      </c>
    </row>
    <row r="927" spans="4:8" x14ac:dyDescent="0.2">
      <c r="D927" s="22">
        <v>46033</v>
      </c>
      <c r="E927">
        <v>188</v>
      </c>
      <c r="F927">
        <v>190</v>
      </c>
      <c r="H927">
        <v>183</v>
      </c>
    </row>
    <row r="928" spans="4:8" x14ac:dyDescent="0.2">
      <c r="D928" s="22">
        <v>46034</v>
      </c>
      <c r="E928">
        <v>188</v>
      </c>
      <c r="F928">
        <v>190</v>
      </c>
      <c r="H928">
        <v>183</v>
      </c>
    </row>
    <row r="929" spans="4:8" x14ac:dyDescent="0.2">
      <c r="D929" s="22">
        <v>46035</v>
      </c>
      <c r="E929">
        <v>172</v>
      </c>
      <c r="F929">
        <v>190</v>
      </c>
      <c r="H929">
        <v>183</v>
      </c>
    </row>
    <row r="930" spans="4:8" x14ac:dyDescent="0.2">
      <c r="D930" s="22">
        <v>46036</v>
      </c>
      <c r="E930">
        <v>182</v>
      </c>
      <c r="F930">
        <v>190</v>
      </c>
      <c r="H930">
        <v>181</v>
      </c>
    </row>
    <row r="931" spans="4:8" x14ac:dyDescent="0.2">
      <c r="D931" s="22">
        <v>46037</v>
      </c>
      <c r="E931">
        <v>177</v>
      </c>
      <c r="F931">
        <v>190</v>
      </c>
      <c r="H931">
        <v>180</v>
      </c>
    </row>
    <row r="932" spans="4:8" x14ac:dyDescent="0.2">
      <c r="D932" s="22">
        <v>46038</v>
      </c>
      <c r="E932">
        <v>196</v>
      </c>
      <c r="F932">
        <v>190</v>
      </c>
      <c r="H932">
        <v>182</v>
      </c>
    </row>
    <row r="933" spans="4:8" x14ac:dyDescent="0.2">
      <c r="D933" s="22">
        <v>46039</v>
      </c>
      <c r="E933">
        <v>164</v>
      </c>
      <c r="F933">
        <v>190</v>
      </c>
      <c r="H933">
        <v>181</v>
      </c>
    </row>
    <row r="934" spans="4:8" x14ac:dyDescent="0.2">
      <c r="D934" s="22">
        <v>46040</v>
      </c>
      <c r="E934">
        <v>172</v>
      </c>
      <c r="F934">
        <v>190</v>
      </c>
      <c r="H934">
        <v>179</v>
      </c>
    </row>
    <row r="935" spans="4:8" x14ac:dyDescent="0.2">
      <c r="D935" s="22">
        <v>46041</v>
      </c>
      <c r="E935">
        <v>203</v>
      </c>
      <c r="F935">
        <v>190</v>
      </c>
      <c r="H935">
        <v>181</v>
      </c>
    </row>
    <row r="936" spans="4:8" x14ac:dyDescent="0.2">
      <c r="D936" s="22">
        <v>46042</v>
      </c>
      <c r="E936">
        <v>204</v>
      </c>
      <c r="F936">
        <v>190</v>
      </c>
      <c r="H936">
        <v>185</v>
      </c>
    </row>
    <row r="937" spans="4:8" x14ac:dyDescent="0.2">
      <c r="D937" s="22">
        <v>46043</v>
      </c>
      <c r="E937">
        <v>183</v>
      </c>
      <c r="F937">
        <v>190</v>
      </c>
      <c r="H937">
        <v>186</v>
      </c>
    </row>
    <row r="938" spans="4:8" x14ac:dyDescent="0.2">
      <c r="D938" s="22">
        <v>46044</v>
      </c>
      <c r="E938">
        <v>196</v>
      </c>
      <c r="F938">
        <v>190</v>
      </c>
      <c r="H938">
        <v>188</v>
      </c>
    </row>
    <row r="939" spans="4:8" x14ac:dyDescent="0.2">
      <c r="D939" s="22">
        <v>46045</v>
      </c>
      <c r="E939">
        <v>181</v>
      </c>
      <c r="F939">
        <v>190</v>
      </c>
      <c r="H939">
        <v>186</v>
      </c>
    </row>
    <row r="940" spans="4:8" x14ac:dyDescent="0.2">
      <c r="D940" s="22">
        <v>46046</v>
      </c>
      <c r="E940">
        <v>196</v>
      </c>
      <c r="F940">
        <v>190</v>
      </c>
      <c r="H940">
        <v>191</v>
      </c>
    </row>
    <row r="941" spans="4:8" x14ac:dyDescent="0.2">
      <c r="D941" s="22">
        <v>46047</v>
      </c>
      <c r="E941">
        <v>180</v>
      </c>
      <c r="F941">
        <v>190</v>
      </c>
      <c r="H941">
        <v>192</v>
      </c>
    </row>
    <row r="942" spans="4:8" x14ac:dyDescent="0.2">
      <c r="D942" s="22">
        <v>46048</v>
      </c>
      <c r="E942">
        <v>177</v>
      </c>
      <c r="F942">
        <v>190</v>
      </c>
      <c r="H942">
        <v>188</v>
      </c>
    </row>
    <row r="943" spans="4:8" x14ac:dyDescent="0.2">
      <c r="D943" s="22">
        <v>46049</v>
      </c>
      <c r="E943">
        <v>196</v>
      </c>
      <c r="F943">
        <v>190</v>
      </c>
      <c r="H943">
        <v>187</v>
      </c>
    </row>
    <row r="944" spans="4:8" x14ac:dyDescent="0.2">
      <c r="D944" s="22">
        <v>46050</v>
      </c>
      <c r="E944">
        <v>194</v>
      </c>
      <c r="F944">
        <v>190</v>
      </c>
      <c r="H944">
        <v>189</v>
      </c>
    </row>
    <row r="945" spans="4:8" x14ac:dyDescent="0.2">
      <c r="D945" s="22">
        <v>46051</v>
      </c>
      <c r="E945">
        <v>185</v>
      </c>
      <c r="F945">
        <v>190</v>
      </c>
      <c r="H945">
        <v>187</v>
      </c>
    </row>
    <row r="946" spans="4:8" x14ac:dyDescent="0.2">
      <c r="D946" s="22">
        <v>46052</v>
      </c>
      <c r="E946">
        <v>204</v>
      </c>
      <c r="F946">
        <v>190</v>
      </c>
      <c r="H946">
        <v>190</v>
      </c>
    </row>
    <row r="947" spans="4:8" x14ac:dyDescent="0.2">
      <c r="D947" s="22">
        <v>46053</v>
      </c>
      <c r="E947">
        <v>213</v>
      </c>
      <c r="F947">
        <v>190</v>
      </c>
      <c r="H947">
        <v>193</v>
      </c>
    </row>
    <row r="948" spans="4:8" x14ac:dyDescent="0.2">
      <c r="D948" s="22">
        <v>46054</v>
      </c>
      <c r="E948">
        <v>185</v>
      </c>
      <c r="F948">
        <v>190</v>
      </c>
      <c r="H948">
        <v>193</v>
      </c>
    </row>
    <row r="949" spans="4:8" x14ac:dyDescent="0.2">
      <c r="D949" s="22">
        <v>46055</v>
      </c>
      <c r="E949">
        <v>203</v>
      </c>
      <c r="F949">
        <v>190</v>
      </c>
      <c r="H949">
        <v>197</v>
      </c>
    </row>
    <row r="950" spans="4:8" x14ac:dyDescent="0.2">
      <c r="D950" s="22">
        <v>46056</v>
      </c>
      <c r="E950">
        <v>208</v>
      </c>
      <c r="F950">
        <v>190</v>
      </c>
      <c r="H950">
        <v>199</v>
      </c>
    </row>
    <row r="951" spans="4:8" x14ac:dyDescent="0.2">
      <c r="D951" s="22">
        <v>46057</v>
      </c>
      <c r="E951">
        <v>185</v>
      </c>
      <c r="F951">
        <v>190</v>
      </c>
      <c r="H951">
        <v>198</v>
      </c>
    </row>
    <row r="952" spans="4:8" x14ac:dyDescent="0.2">
      <c r="D952" s="22">
        <v>46058</v>
      </c>
      <c r="E952">
        <v>204</v>
      </c>
      <c r="F952">
        <v>190</v>
      </c>
      <c r="H952">
        <v>200</v>
      </c>
    </row>
    <row r="953" spans="4:8" x14ac:dyDescent="0.2">
      <c r="D953" s="22">
        <v>46059</v>
      </c>
      <c r="E953">
        <v>163</v>
      </c>
      <c r="F953">
        <v>190</v>
      </c>
      <c r="H953">
        <v>194</v>
      </c>
    </row>
    <row r="954" spans="4:8" x14ac:dyDescent="0.2">
      <c r="D954" s="22">
        <v>46060</v>
      </c>
      <c r="E954">
        <v>175</v>
      </c>
      <c r="F954">
        <v>190</v>
      </c>
      <c r="H954">
        <v>189</v>
      </c>
    </row>
    <row r="955" spans="4:8" x14ac:dyDescent="0.2">
      <c r="D955" s="22">
        <v>46061</v>
      </c>
      <c r="E955">
        <v>174</v>
      </c>
      <c r="F955">
        <v>190</v>
      </c>
      <c r="H955">
        <v>187</v>
      </c>
    </row>
    <row r="956" spans="4:8" x14ac:dyDescent="0.2">
      <c r="D956" s="22">
        <v>46062</v>
      </c>
      <c r="E956">
        <v>211</v>
      </c>
      <c r="F956">
        <v>190</v>
      </c>
      <c r="H956">
        <v>189</v>
      </c>
    </row>
    <row r="957" spans="4:8" x14ac:dyDescent="0.2">
      <c r="D957" s="22">
        <v>46063</v>
      </c>
      <c r="E957">
        <v>176</v>
      </c>
      <c r="F957">
        <v>190</v>
      </c>
      <c r="H957">
        <v>184</v>
      </c>
    </row>
    <row r="958" spans="4:8" x14ac:dyDescent="0.2">
      <c r="D958" s="22">
        <v>46064</v>
      </c>
      <c r="E958">
        <v>183</v>
      </c>
      <c r="F958">
        <v>190</v>
      </c>
      <c r="H958">
        <v>184</v>
      </c>
    </row>
    <row r="959" spans="4:8" x14ac:dyDescent="0.2">
      <c r="D959" s="22">
        <v>46065</v>
      </c>
      <c r="E959">
        <v>192</v>
      </c>
      <c r="F959">
        <v>190</v>
      </c>
      <c r="H959">
        <v>182</v>
      </c>
    </row>
    <row r="960" spans="4:8" x14ac:dyDescent="0.2">
      <c r="D960" s="22">
        <v>46066</v>
      </c>
      <c r="E960">
        <v>186</v>
      </c>
      <c r="F960">
        <v>190</v>
      </c>
      <c r="H960">
        <v>185</v>
      </c>
    </row>
    <row r="961" spans="4:8" x14ac:dyDescent="0.2">
      <c r="D961" s="22">
        <v>46067</v>
      </c>
      <c r="E961">
        <v>191</v>
      </c>
      <c r="F961">
        <v>190</v>
      </c>
      <c r="H961">
        <v>188</v>
      </c>
    </row>
    <row r="962" spans="4:8" x14ac:dyDescent="0.2">
      <c r="D962" s="22">
        <v>46068</v>
      </c>
      <c r="E962">
        <v>186</v>
      </c>
      <c r="F962">
        <v>190</v>
      </c>
      <c r="H962">
        <v>189</v>
      </c>
    </row>
    <row r="963" spans="4:8" x14ac:dyDescent="0.2">
      <c r="D963" s="22">
        <v>46069</v>
      </c>
      <c r="E963">
        <v>192</v>
      </c>
      <c r="F963">
        <v>190</v>
      </c>
      <c r="H963">
        <v>187</v>
      </c>
    </row>
    <row r="964" spans="4:8" x14ac:dyDescent="0.2">
      <c r="D964" s="22">
        <v>46070</v>
      </c>
      <c r="E964">
        <v>182</v>
      </c>
      <c r="F964">
        <v>190</v>
      </c>
      <c r="H964">
        <v>187</v>
      </c>
    </row>
    <row r="965" spans="4:8" x14ac:dyDescent="0.2">
      <c r="D965" s="22">
        <v>46071</v>
      </c>
      <c r="E965">
        <v>207</v>
      </c>
      <c r="F965">
        <v>190</v>
      </c>
      <c r="H965">
        <v>191</v>
      </c>
    </row>
    <row r="966" spans="4:8" x14ac:dyDescent="0.2">
      <c r="D966" s="22">
        <v>46072</v>
      </c>
      <c r="E966">
        <v>183</v>
      </c>
      <c r="F966">
        <v>190</v>
      </c>
      <c r="H966">
        <v>190</v>
      </c>
    </row>
    <row r="967" spans="4:8" x14ac:dyDescent="0.2">
      <c r="D967" s="22">
        <v>46073</v>
      </c>
      <c r="E967">
        <v>194</v>
      </c>
      <c r="F967">
        <v>190</v>
      </c>
      <c r="H967">
        <v>191</v>
      </c>
    </row>
    <row r="968" spans="4:8" x14ac:dyDescent="0.2">
      <c r="D968" s="22">
        <v>46074</v>
      </c>
      <c r="E968">
        <v>170</v>
      </c>
      <c r="F968">
        <v>190</v>
      </c>
      <c r="H968">
        <v>188</v>
      </c>
    </row>
    <row r="969" spans="4:8" x14ac:dyDescent="0.2">
      <c r="D969" s="22">
        <v>46075</v>
      </c>
      <c r="E969">
        <v>195</v>
      </c>
      <c r="F969">
        <v>190</v>
      </c>
      <c r="H969">
        <v>189</v>
      </c>
    </row>
    <row r="970" spans="4:8" x14ac:dyDescent="0.2">
      <c r="D970" s="22">
        <v>46076</v>
      </c>
      <c r="E970">
        <v>195</v>
      </c>
      <c r="F970">
        <v>190</v>
      </c>
      <c r="H970">
        <v>189</v>
      </c>
    </row>
    <row r="971" spans="4:8" x14ac:dyDescent="0.2">
      <c r="D971" s="22">
        <v>46077</v>
      </c>
      <c r="E971">
        <v>202</v>
      </c>
      <c r="F971">
        <v>190</v>
      </c>
      <c r="H971">
        <v>192</v>
      </c>
    </row>
    <row r="972" spans="4:8" x14ac:dyDescent="0.2">
      <c r="D972" s="22">
        <v>46078</v>
      </c>
      <c r="E972">
        <v>179</v>
      </c>
      <c r="F972">
        <v>190</v>
      </c>
      <c r="H972">
        <v>188</v>
      </c>
    </row>
    <row r="973" spans="4:8" x14ac:dyDescent="0.2">
      <c r="D973" s="22">
        <v>46079</v>
      </c>
      <c r="E973">
        <v>207</v>
      </c>
      <c r="F973">
        <v>190</v>
      </c>
      <c r="H973">
        <v>192</v>
      </c>
    </row>
  </sheetData>
  <pageMargins left="0.7" right="0.7" top="0.75" bottom="0.75" header="0.3" footer="0.3"/>
  <ignoredErrors>
    <ignoredError sqref="N4:N14 N16:N26" formulaRange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FBF1-F1A6-1C43-A691-215463A12091}">
  <dimension ref="B2:M54"/>
  <sheetViews>
    <sheetView topLeftCell="A20" zoomScale="150" zoomScaleNormal="150" workbookViewId="0">
      <selection activeCell="I35" sqref="I35"/>
    </sheetView>
  </sheetViews>
  <sheetFormatPr baseColWidth="10" defaultRowHeight="16" x14ac:dyDescent="0.2"/>
  <sheetData>
    <row r="2" spans="2:13" x14ac:dyDescent="0.2">
      <c r="B2" t="s">
        <v>591</v>
      </c>
      <c r="C2" t="s">
        <v>593</v>
      </c>
      <c r="D2" t="s">
        <v>592</v>
      </c>
      <c r="E2" t="s">
        <v>617</v>
      </c>
      <c r="F2" t="s">
        <v>618</v>
      </c>
      <c r="L2" t="s">
        <v>620</v>
      </c>
      <c r="M2" t="s">
        <v>619</v>
      </c>
    </row>
    <row r="3" spans="2:13" x14ac:dyDescent="0.2">
      <c r="B3">
        <v>2001</v>
      </c>
      <c r="C3">
        <v>1</v>
      </c>
      <c r="D3">
        <v>1325</v>
      </c>
      <c r="E3">
        <v>0</v>
      </c>
      <c r="F3">
        <f>D3-E3</f>
        <v>1325</v>
      </c>
      <c r="K3">
        <v>1325</v>
      </c>
      <c r="M3">
        <v>4357</v>
      </c>
    </row>
    <row r="4" spans="2:13" x14ac:dyDescent="0.2">
      <c r="B4">
        <v>2001</v>
      </c>
      <c r="C4">
        <v>2</v>
      </c>
      <c r="D4">
        <v>4357</v>
      </c>
      <c r="E4">
        <f>D3</f>
        <v>1325</v>
      </c>
      <c r="F4">
        <f t="shared" ref="F4:F26" si="0">D4-E4</f>
        <v>3032</v>
      </c>
      <c r="H4">
        <f>D4-D3</f>
        <v>3032</v>
      </c>
      <c r="K4">
        <v>4357</v>
      </c>
      <c r="L4">
        <v>1325</v>
      </c>
      <c r="M4">
        <v>1633</v>
      </c>
    </row>
    <row r="5" spans="2:13" x14ac:dyDescent="0.2">
      <c r="B5">
        <v>2001</v>
      </c>
      <c r="C5">
        <v>3</v>
      </c>
      <c r="D5">
        <v>1633</v>
      </c>
      <c r="E5">
        <f t="shared" ref="E5:E26" si="1">D4</f>
        <v>4357</v>
      </c>
      <c r="F5">
        <f t="shared" si="0"/>
        <v>-2724</v>
      </c>
      <c r="H5">
        <f t="shared" ref="H5:H26" si="2">D5-D4</f>
        <v>-2724</v>
      </c>
      <c r="K5">
        <v>1633</v>
      </c>
      <c r="L5">
        <v>4357</v>
      </c>
      <c r="M5">
        <v>4055</v>
      </c>
    </row>
    <row r="6" spans="2:13" x14ac:dyDescent="0.2">
      <c r="B6">
        <v>2001</v>
      </c>
      <c r="C6">
        <v>4</v>
      </c>
      <c r="D6">
        <v>4055</v>
      </c>
      <c r="E6">
        <f t="shared" si="1"/>
        <v>1633</v>
      </c>
      <c r="F6">
        <f t="shared" si="0"/>
        <v>2422</v>
      </c>
      <c r="H6">
        <f t="shared" si="2"/>
        <v>2422</v>
      </c>
      <c r="K6">
        <v>4055</v>
      </c>
      <c r="L6">
        <v>1633</v>
      </c>
      <c r="M6">
        <v>3244</v>
      </c>
    </row>
    <row r="7" spans="2:13" x14ac:dyDescent="0.2">
      <c r="B7">
        <v>2001</v>
      </c>
      <c r="C7">
        <v>5</v>
      </c>
      <c r="D7">
        <v>3244</v>
      </c>
      <c r="E7">
        <f t="shared" si="1"/>
        <v>4055</v>
      </c>
      <c r="F7">
        <f t="shared" si="0"/>
        <v>-811</v>
      </c>
      <c r="H7">
        <f t="shared" si="2"/>
        <v>-811</v>
      </c>
      <c r="K7">
        <v>3244</v>
      </c>
      <c r="L7">
        <v>4055</v>
      </c>
      <c r="M7">
        <v>3533</v>
      </c>
    </row>
    <row r="8" spans="2:13" x14ac:dyDescent="0.2">
      <c r="B8">
        <v>2001</v>
      </c>
      <c r="C8">
        <v>6</v>
      </c>
      <c r="D8">
        <v>3533</v>
      </c>
      <c r="E8">
        <f t="shared" si="1"/>
        <v>3244</v>
      </c>
      <c r="F8">
        <f t="shared" si="0"/>
        <v>289</v>
      </c>
      <c r="H8">
        <f t="shared" si="2"/>
        <v>289</v>
      </c>
      <c r="K8">
        <v>3533</v>
      </c>
      <c r="L8">
        <v>3244</v>
      </c>
      <c r="M8">
        <v>4471</v>
      </c>
    </row>
    <row r="9" spans="2:13" x14ac:dyDescent="0.2">
      <c r="B9">
        <v>2001</v>
      </c>
      <c r="C9">
        <v>7</v>
      </c>
      <c r="D9">
        <v>4471</v>
      </c>
      <c r="E9">
        <f t="shared" si="1"/>
        <v>3533</v>
      </c>
      <c r="F9">
        <f t="shared" si="0"/>
        <v>938</v>
      </c>
      <c r="H9">
        <f t="shared" si="2"/>
        <v>938</v>
      </c>
      <c r="K9">
        <v>4471</v>
      </c>
      <c r="L9">
        <v>3533</v>
      </c>
      <c r="M9">
        <v>1513</v>
      </c>
    </row>
    <row r="10" spans="2:13" x14ac:dyDescent="0.2">
      <c r="B10">
        <v>2001</v>
      </c>
      <c r="C10">
        <v>8</v>
      </c>
      <c r="D10">
        <v>1513</v>
      </c>
      <c r="E10">
        <f t="shared" si="1"/>
        <v>4471</v>
      </c>
      <c r="F10">
        <f t="shared" si="0"/>
        <v>-2958</v>
      </c>
      <c r="H10">
        <f t="shared" si="2"/>
        <v>-2958</v>
      </c>
      <c r="K10">
        <v>1513</v>
      </c>
      <c r="L10">
        <v>4471</v>
      </c>
      <c r="M10">
        <v>1914</v>
      </c>
    </row>
    <row r="11" spans="2:13" x14ac:dyDescent="0.2">
      <c r="B11">
        <v>2001</v>
      </c>
      <c r="C11">
        <v>9</v>
      </c>
      <c r="D11">
        <v>1914</v>
      </c>
      <c r="E11">
        <f t="shared" si="1"/>
        <v>1513</v>
      </c>
      <c r="F11">
        <f t="shared" si="0"/>
        <v>401</v>
      </c>
      <c r="H11">
        <f t="shared" si="2"/>
        <v>401</v>
      </c>
      <c r="K11">
        <v>1914</v>
      </c>
      <c r="L11">
        <v>1513</v>
      </c>
      <c r="M11">
        <v>4986</v>
      </c>
    </row>
    <row r="12" spans="2:13" x14ac:dyDescent="0.2">
      <c r="B12">
        <v>2001</v>
      </c>
      <c r="C12">
        <v>10</v>
      </c>
      <c r="D12">
        <v>4986</v>
      </c>
      <c r="E12">
        <f t="shared" si="1"/>
        <v>1914</v>
      </c>
      <c r="F12">
        <f t="shared" si="0"/>
        <v>3072</v>
      </c>
      <c r="H12">
        <f t="shared" si="2"/>
        <v>3072</v>
      </c>
      <c r="K12">
        <v>4986</v>
      </c>
      <c r="L12">
        <v>1914</v>
      </c>
      <c r="M12">
        <v>1541</v>
      </c>
    </row>
    <row r="13" spans="2:13" x14ac:dyDescent="0.2">
      <c r="B13">
        <v>2001</v>
      </c>
      <c r="C13">
        <v>11</v>
      </c>
      <c r="D13">
        <v>1541</v>
      </c>
      <c r="E13">
        <f t="shared" si="1"/>
        <v>4986</v>
      </c>
      <c r="F13">
        <f t="shared" si="0"/>
        <v>-3445</v>
      </c>
      <c r="H13">
        <f t="shared" si="2"/>
        <v>-3445</v>
      </c>
      <c r="K13">
        <v>1541</v>
      </c>
      <c r="L13">
        <v>4986</v>
      </c>
      <c r="M13">
        <v>3253</v>
      </c>
    </row>
    <row r="14" spans="2:13" x14ac:dyDescent="0.2">
      <c r="B14">
        <v>2001</v>
      </c>
      <c r="C14">
        <v>12</v>
      </c>
      <c r="D14">
        <v>3253</v>
      </c>
      <c r="E14">
        <f t="shared" si="1"/>
        <v>1541</v>
      </c>
      <c r="F14">
        <f t="shared" si="0"/>
        <v>1712</v>
      </c>
      <c r="H14">
        <f t="shared" si="2"/>
        <v>1712</v>
      </c>
      <c r="K14">
        <v>3253</v>
      </c>
      <c r="L14">
        <v>1541</v>
      </c>
      <c r="M14">
        <v>2971</v>
      </c>
    </row>
    <row r="15" spans="2:13" x14ac:dyDescent="0.2">
      <c r="B15">
        <v>2002</v>
      </c>
      <c r="C15">
        <v>1</v>
      </c>
      <c r="D15">
        <v>2971</v>
      </c>
      <c r="E15">
        <f t="shared" si="1"/>
        <v>3253</v>
      </c>
      <c r="F15">
        <f t="shared" si="0"/>
        <v>-282</v>
      </c>
      <c r="H15">
        <f t="shared" si="2"/>
        <v>-282</v>
      </c>
      <c r="K15">
        <v>2971</v>
      </c>
      <c r="L15">
        <v>3253</v>
      </c>
      <c r="M15">
        <v>1513</v>
      </c>
    </row>
    <row r="16" spans="2:13" x14ac:dyDescent="0.2">
      <c r="B16">
        <v>2002</v>
      </c>
      <c r="C16">
        <v>2</v>
      </c>
      <c r="D16">
        <v>1513</v>
      </c>
      <c r="E16">
        <f t="shared" si="1"/>
        <v>2971</v>
      </c>
      <c r="F16">
        <f t="shared" si="0"/>
        <v>-1458</v>
      </c>
      <c r="H16">
        <f t="shared" si="2"/>
        <v>-1458</v>
      </c>
      <c r="K16">
        <v>1513</v>
      </c>
      <c r="L16">
        <v>2971</v>
      </c>
      <c r="M16">
        <v>1914</v>
      </c>
    </row>
    <row r="17" spans="2:13" x14ac:dyDescent="0.2">
      <c r="B17">
        <v>2002</v>
      </c>
      <c r="C17">
        <v>3</v>
      </c>
      <c r="D17">
        <v>1914</v>
      </c>
      <c r="E17">
        <f t="shared" si="1"/>
        <v>1513</v>
      </c>
      <c r="F17">
        <f t="shared" si="0"/>
        <v>401</v>
      </c>
      <c r="H17">
        <f t="shared" si="2"/>
        <v>401</v>
      </c>
      <c r="K17">
        <v>1914</v>
      </c>
      <c r="L17">
        <v>1513</v>
      </c>
      <c r="M17">
        <v>4986</v>
      </c>
    </row>
    <row r="18" spans="2:13" x14ac:dyDescent="0.2">
      <c r="B18">
        <v>2002</v>
      </c>
      <c r="C18">
        <v>4</v>
      </c>
      <c r="D18">
        <v>4986</v>
      </c>
      <c r="E18">
        <f t="shared" si="1"/>
        <v>1914</v>
      </c>
      <c r="F18">
        <f t="shared" si="0"/>
        <v>3072</v>
      </c>
      <c r="H18">
        <f t="shared" si="2"/>
        <v>3072</v>
      </c>
      <c r="K18">
        <v>4986</v>
      </c>
      <c r="L18">
        <v>1914</v>
      </c>
      <c r="M18">
        <v>1541</v>
      </c>
    </row>
    <row r="19" spans="2:13" x14ac:dyDescent="0.2">
      <c r="B19">
        <v>2002</v>
      </c>
      <c r="C19">
        <v>5</v>
      </c>
      <c r="D19">
        <v>1541</v>
      </c>
      <c r="E19">
        <f t="shared" si="1"/>
        <v>4986</v>
      </c>
      <c r="F19">
        <f t="shared" si="0"/>
        <v>-3445</v>
      </c>
      <c r="H19">
        <f t="shared" si="2"/>
        <v>-3445</v>
      </c>
      <c r="K19">
        <v>1541</v>
      </c>
      <c r="L19">
        <v>4986</v>
      </c>
      <c r="M19">
        <v>3253</v>
      </c>
    </row>
    <row r="20" spans="2:13" x14ac:dyDescent="0.2">
      <c r="B20">
        <v>2002</v>
      </c>
      <c r="C20">
        <v>6</v>
      </c>
      <c r="D20">
        <v>3253</v>
      </c>
      <c r="E20">
        <f t="shared" si="1"/>
        <v>1541</v>
      </c>
      <c r="F20">
        <f t="shared" si="0"/>
        <v>1712</v>
      </c>
      <c r="H20">
        <f t="shared" si="2"/>
        <v>1712</v>
      </c>
      <c r="K20">
        <v>3253</v>
      </c>
      <c r="L20">
        <v>1541</v>
      </c>
      <c r="M20">
        <v>2971</v>
      </c>
    </row>
    <row r="21" spans="2:13" x14ac:dyDescent="0.2">
      <c r="B21">
        <v>2002</v>
      </c>
      <c r="C21">
        <v>7</v>
      </c>
      <c r="D21">
        <v>2971</v>
      </c>
      <c r="E21">
        <f t="shared" si="1"/>
        <v>3253</v>
      </c>
      <c r="F21">
        <f t="shared" si="0"/>
        <v>-282</v>
      </c>
      <c r="H21">
        <f t="shared" si="2"/>
        <v>-282</v>
      </c>
      <c r="K21">
        <v>2971</v>
      </c>
      <c r="L21">
        <v>3253</v>
      </c>
      <c r="M21">
        <v>3244</v>
      </c>
    </row>
    <row r="22" spans="2:13" x14ac:dyDescent="0.2">
      <c r="B22">
        <v>2002</v>
      </c>
      <c r="C22">
        <v>8</v>
      </c>
      <c r="D22">
        <v>3244</v>
      </c>
      <c r="E22">
        <f t="shared" si="1"/>
        <v>2971</v>
      </c>
      <c r="F22">
        <f t="shared" si="0"/>
        <v>273</v>
      </c>
      <c r="H22">
        <f t="shared" si="2"/>
        <v>273</v>
      </c>
      <c r="K22">
        <v>3244</v>
      </c>
      <c r="L22">
        <v>2971</v>
      </c>
      <c r="M22">
        <v>3533</v>
      </c>
    </row>
    <row r="23" spans="2:13" x14ac:dyDescent="0.2">
      <c r="B23">
        <v>2002</v>
      </c>
      <c r="C23">
        <v>9</v>
      </c>
      <c r="D23">
        <v>3533</v>
      </c>
      <c r="E23">
        <f t="shared" si="1"/>
        <v>3244</v>
      </c>
      <c r="F23">
        <f t="shared" si="0"/>
        <v>289</v>
      </c>
      <c r="H23">
        <f t="shared" si="2"/>
        <v>289</v>
      </c>
      <c r="K23">
        <v>3533</v>
      </c>
      <c r="L23">
        <v>3244</v>
      </c>
      <c r="M23">
        <v>4471</v>
      </c>
    </row>
    <row r="24" spans="2:13" x14ac:dyDescent="0.2">
      <c r="B24">
        <v>2002</v>
      </c>
      <c r="C24">
        <v>10</v>
      </c>
      <c r="D24">
        <v>4471</v>
      </c>
      <c r="E24">
        <f t="shared" si="1"/>
        <v>3533</v>
      </c>
      <c r="F24">
        <f t="shared" si="0"/>
        <v>938</v>
      </c>
      <c r="H24">
        <f t="shared" si="2"/>
        <v>938</v>
      </c>
      <c r="K24">
        <v>4471</v>
      </c>
      <c r="L24">
        <v>3533</v>
      </c>
      <c r="M24">
        <v>5409</v>
      </c>
    </row>
    <row r="25" spans="2:13" x14ac:dyDescent="0.2">
      <c r="B25">
        <v>2002</v>
      </c>
      <c r="C25">
        <v>11</v>
      </c>
      <c r="D25">
        <v>5409</v>
      </c>
      <c r="E25">
        <f t="shared" si="1"/>
        <v>4471</v>
      </c>
      <c r="F25">
        <f t="shared" si="0"/>
        <v>938</v>
      </c>
      <c r="H25">
        <f t="shared" si="2"/>
        <v>938</v>
      </c>
      <c r="K25">
        <v>5409</v>
      </c>
      <c r="L25">
        <v>4471</v>
      </c>
      <c r="M25">
        <v>6347</v>
      </c>
    </row>
    <row r="26" spans="2:13" x14ac:dyDescent="0.2">
      <c r="B26">
        <v>2002</v>
      </c>
      <c r="C26">
        <v>12</v>
      </c>
      <c r="D26">
        <v>6347</v>
      </c>
      <c r="E26">
        <f t="shared" si="1"/>
        <v>5409</v>
      </c>
      <c r="F26">
        <f t="shared" si="0"/>
        <v>938</v>
      </c>
      <c r="H26">
        <f t="shared" si="2"/>
        <v>938</v>
      </c>
      <c r="K26">
        <v>6347</v>
      </c>
      <c r="L26">
        <v>5409</v>
      </c>
    </row>
    <row r="30" spans="2:13" x14ac:dyDescent="0.2">
      <c r="B30" t="s">
        <v>591</v>
      </c>
      <c r="C30" t="s">
        <v>593</v>
      </c>
      <c r="D30" t="s">
        <v>592</v>
      </c>
    </row>
    <row r="31" spans="2:13" x14ac:dyDescent="0.2">
      <c r="B31">
        <v>2001</v>
      </c>
      <c r="C31">
        <v>1</v>
      </c>
      <c r="D31">
        <v>1325</v>
      </c>
      <c r="E31" t="s">
        <v>621</v>
      </c>
    </row>
    <row r="32" spans="2:13" x14ac:dyDescent="0.2">
      <c r="B32">
        <v>2001</v>
      </c>
      <c r="C32">
        <v>2</v>
      </c>
      <c r="D32">
        <v>4357</v>
      </c>
      <c r="E32" t="s">
        <v>621</v>
      </c>
    </row>
    <row r="33" spans="2:5" x14ac:dyDescent="0.2">
      <c r="B33">
        <v>2001</v>
      </c>
      <c r="C33">
        <v>3</v>
      </c>
      <c r="D33">
        <v>1633</v>
      </c>
      <c r="E33" t="s">
        <v>621</v>
      </c>
    </row>
    <row r="34" spans="2:5" x14ac:dyDescent="0.2">
      <c r="B34">
        <v>2001</v>
      </c>
      <c r="C34">
        <v>4</v>
      </c>
      <c r="D34">
        <v>4055</v>
      </c>
      <c r="E34" t="s">
        <v>621</v>
      </c>
    </row>
    <row r="35" spans="2:5" x14ac:dyDescent="0.2">
      <c r="B35">
        <v>2001</v>
      </c>
      <c r="C35">
        <v>5</v>
      </c>
      <c r="D35">
        <v>3244</v>
      </c>
      <c r="E35" t="s">
        <v>621</v>
      </c>
    </row>
    <row r="36" spans="2:5" x14ac:dyDescent="0.2">
      <c r="B36">
        <v>2001</v>
      </c>
      <c r="C36">
        <v>6</v>
      </c>
      <c r="D36">
        <v>3533</v>
      </c>
      <c r="E36" t="s">
        <v>621</v>
      </c>
    </row>
    <row r="37" spans="2:5" x14ac:dyDescent="0.2">
      <c r="B37">
        <v>2001</v>
      </c>
      <c r="C37">
        <v>7</v>
      </c>
      <c r="D37">
        <v>4471</v>
      </c>
      <c r="E37" t="s">
        <v>621</v>
      </c>
    </row>
    <row r="38" spans="2:5" x14ac:dyDescent="0.2">
      <c r="B38">
        <v>2001</v>
      </c>
      <c r="C38">
        <v>8</v>
      </c>
      <c r="D38">
        <v>1513</v>
      </c>
      <c r="E38" t="s">
        <v>621</v>
      </c>
    </row>
    <row r="39" spans="2:5" x14ac:dyDescent="0.2">
      <c r="B39">
        <v>2001</v>
      </c>
      <c r="C39">
        <v>9</v>
      </c>
      <c r="D39">
        <v>1914</v>
      </c>
      <c r="E39" t="s">
        <v>621</v>
      </c>
    </row>
    <row r="40" spans="2:5" x14ac:dyDescent="0.2">
      <c r="B40">
        <v>2001</v>
      </c>
      <c r="C40">
        <v>10</v>
      </c>
      <c r="D40">
        <v>4986</v>
      </c>
      <c r="E40" t="s">
        <v>621</v>
      </c>
    </row>
    <row r="41" spans="2:5" x14ac:dyDescent="0.2">
      <c r="B41">
        <v>2001</v>
      </c>
      <c r="C41">
        <v>11</v>
      </c>
      <c r="D41">
        <v>1541</v>
      </c>
      <c r="E41" t="s">
        <v>621</v>
      </c>
    </row>
    <row r="42" spans="2:5" x14ac:dyDescent="0.2">
      <c r="B42">
        <v>2001</v>
      </c>
      <c r="C42">
        <v>12</v>
      </c>
      <c r="D42">
        <v>3253</v>
      </c>
      <c r="E42" t="s">
        <v>621</v>
      </c>
    </row>
    <row r="43" spans="2:5" x14ac:dyDescent="0.2">
      <c r="B43">
        <v>2002</v>
      </c>
      <c r="C43">
        <v>1</v>
      </c>
      <c r="D43">
        <v>2971</v>
      </c>
      <c r="E43">
        <v>1325</v>
      </c>
    </row>
    <row r="44" spans="2:5" x14ac:dyDescent="0.2">
      <c r="B44">
        <v>2002</v>
      </c>
      <c r="C44">
        <v>2</v>
      </c>
      <c r="D44">
        <v>1513</v>
      </c>
      <c r="E44">
        <v>4357</v>
      </c>
    </row>
    <row r="45" spans="2:5" x14ac:dyDescent="0.2">
      <c r="B45">
        <v>2002</v>
      </c>
      <c r="C45">
        <v>3</v>
      </c>
      <c r="D45">
        <v>1914</v>
      </c>
      <c r="E45">
        <v>1633</v>
      </c>
    </row>
    <row r="46" spans="2:5" x14ac:dyDescent="0.2">
      <c r="B46">
        <v>2002</v>
      </c>
      <c r="C46">
        <v>4</v>
      </c>
      <c r="D46">
        <v>4986</v>
      </c>
      <c r="E46">
        <v>4055</v>
      </c>
    </row>
    <row r="47" spans="2:5" x14ac:dyDescent="0.2">
      <c r="B47">
        <v>2002</v>
      </c>
      <c r="C47">
        <v>5</v>
      </c>
      <c r="D47">
        <v>1541</v>
      </c>
      <c r="E47">
        <v>3244</v>
      </c>
    </row>
    <row r="48" spans="2:5" x14ac:dyDescent="0.2">
      <c r="B48">
        <v>2002</v>
      </c>
      <c r="C48">
        <v>6</v>
      </c>
      <c r="D48">
        <v>3253</v>
      </c>
      <c r="E48">
        <v>3533</v>
      </c>
    </row>
    <row r="49" spans="2:5" x14ac:dyDescent="0.2">
      <c r="B49">
        <v>2002</v>
      </c>
      <c r="C49">
        <v>7</v>
      </c>
      <c r="D49">
        <v>2971</v>
      </c>
      <c r="E49">
        <v>4471</v>
      </c>
    </row>
    <row r="50" spans="2:5" x14ac:dyDescent="0.2">
      <c r="B50">
        <v>2002</v>
      </c>
      <c r="C50">
        <v>8</v>
      </c>
      <c r="D50">
        <v>3244</v>
      </c>
      <c r="E50">
        <v>1513</v>
      </c>
    </row>
    <row r="51" spans="2:5" x14ac:dyDescent="0.2">
      <c r="B51">
        <v>2002</v>
      </c>
      <c r="C51">
        <v>9</v>
      </c>
      <c r="D51">
        <v>3533</v>
      </c>
      <c r="E51">
        <v>1914</v>
      </c>
    </row>
    <row r="52" spans="2:5" x14ac:dyDescent="0.2">
      <c r="B52">
        <v>2002</v>
      </c>
      <c r="C52">
        <v>10</v>
      </c>
      <c r="D52">
        <v>4471</v>
      </c>
      <c r="E52">
        <v>4986</v>
      </c>
    </row>
    <row r="53" spans="2:5" x14ac:dyDescent="0.2">
      <c r="B53">
        <v>2002</v>
      </c>
      <c r="C53">
        <v>11</v>
      </c>
      <c r="D53">
        <v>5409</v>
      </c>
      <c r="E53">
        <v>1541</v>
      </c>
    </row>
    <row r="54" spans="2:5" x14ac:dyDescent="0.2">
      <c r="B54">
        <v>2002</v>
      </c>
      <c r="C54">
        <v>12</v>
      </c>
      <c r="D54">
        <v>6347</v>
      </c>
      <c r="E54">
        <v>3253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E1AE-2986-774A-BCF0-09073C7E34EA}">
  <dimension ref="B2:K115"/>
  <sheetViews>
    <sheetView tabSelected="1" topLeftCell="A94" zoomScale="200" zoomScaleNormal="200" workbookViewId="0">
      <selection activeCell="F98" sqref="F98"/>
    </sheetView>
  </sheetViews>
  <sheetFormatPr baseColWidth="10" defaultRowHeight="16" x14ac:dyDescent="0.2"/>
  <cols>
    <col min="2" max="2" width="13.5" bestFit="1" customWidth="1"/>
    <col min="5" max="5" width="14.83203125" bestFit="1" customWidth="1"/>
    <col min="6" max="6" width="4.33203125" customWidth="1"/>
    <col min="7" max="7" width="23.6640625" bestFit="1" customWidth="1"/>
    <col min="8" max="8" width="16.83203125" customWidth="1"/>
    <col min="9" max="9" width="24.5" bestFit="1" customWidth="1"/>
    <col min="10" max="10" width="12.6640625" bestFit="1" customWidth="1"/>
  </cols>
  <sheetData>
    <row r="2" spans="2:9" x14ac:dyDescent="0.2">
      <c r="B2" t="s">
        <v>622</v>
      </c>
    </row>
    <row r="3" spans="2:9" x14ac:dyDescent="0.2">
      <c r="C3" t="s">
        <v>623</v>
      </c>
      <c r="E3" t="s">
        <v>624</v>
      </c>
      <c r="G3" t="s">
        <v>626</v>
      </c>
    </row>
    <row r="4" spans="2:9" x14ac:dyDescent="0.2">
      <c r="G4" s="77" t="s">
        <v>625</v>
      </c>
    </row>
    <row r="5" spans="2:9" x14ac:dyDescent="0.2">
      <c r="B5" t="s">
        <v>627</v>
      </c>
      <c r="C5" t="s">
        <v>628</v>
      </c>
      <c r="E5" t="s">
        <v>631</v>
      </c>
      <c r="F5">
        <v>450</v>
      </c>
      <c r="G5" t="s">
        <v>634</v>
      </c>
      <c r="H5">
        <v>12</v>
      </c>
      <c r="I5" t="s">
        <v>637</v>
      </c>
    </row>
    <row r="7" spans="2:9" x14ac:dyDescent="0.2">
      <c r="C7" t="s">
        <v>629</v>
      </c>
      <c r="E7" t="s">
        <v>632</v>
      </c>
      <c r="F7">
        <v>600</v>
      </c>
      <c r="G7" t="s">
        <v>635</v>
      </c>
      <c r="H7">
        <v>11.5</v>
      </c>
    </row>
    <row r="9" spans="2:9" x14ac:dyDescent="0.2">
      <c r="C9" t="s">
        <v>630</v>
      </c>
      <c r="E9" t="s">
        <v>633</v>
      </c>
      <c r="F9">
        <v>200</v>
      </c>
      <c r="G9" t="s">
        <v>636</v>
      </c>
      <c r="H9">
        <v>13</v>
      </c>
    </row>
    <row r="12" spans="2:9" x14ac:dyDescent="0.2">
      <c r="B12" t="s">
        <v>638</v>
      </c>
      <c r="C12" t="s">
        <v>639</v>
      </c>
      <c r="E12" t="s">
        <v>642</v>
      </c>
    </row>
    <row r="13" spans="2:9" x14ac:dyDescent="0.2">
      <c r="E13" t="s">
        <v>640</v>
      </c>
    </row>
    <row r="14" spans="2:9" x14ac:dyDescent="0.2">
      <c r="E14" t="s">
        <v>641</v>
      </c>
    </row>
    <row r="17" spans="2:7" x14ac:dyDescent="0.2">
      <c r="B17" t="s">
        <v>643</v>
      </c>
      <c r="C17" t="s">
        <v>630</v>
      </c>
      <c r="E17" t="s">
        <v>645</v>
      </c>
      <c r="F17">
        <v>200</v>
      </c>
      <c r="G17" t="s">
        <v>636</v>
      </c>
    </row>
    <row r="18" spans="2:7" x14ac:dyDescent="0.2">
      <c r="E18" t="s">
        <v>646</v>
      </c>
      <c r="F18">
        <v>300</v>
      </c>
      <c r="G18" t="s">
        <v>647</v>
      </c>
    </row>
    <row r="21" spans="2:7" x14ac:dyDescent="0.2">
      <c r="B21" t="s">
        <v>648</v>
      </c>
    </row>
    <row r="25" spans="2:7" x14ac:dyDescent="0.2">
      <c r="C25" t="s">
        <v>638</v>
      </c>
      <c r="E25" t="s">
        <v>648</v>
      </c>
    </row>
    <row r="27" spans="2:7" x14ac:dyDescent="0.2">
      <c r="C27" t="s">
        <v>644</v>
      </c>
      <c r="E27" t="s">
        <v>639</v>
      </c>
    </row>
    <row r="28" spans="2:7" x14ac:dyDescent="0.2">
      <c r="E28" t="s">
        <v>649</v>
      </c>
    </row>
    <row r="39" spans="2:10" x14ac:dyDescent="0.2">
      <c r="C39" t="s">
        <v>650</v>
      </c>
    </row>
    <row r="40" spans="2:10" ht="17" thickBot="1" x14ac:dyDescent="0.25">
      <c r="H40" t="s">
        <v>651</v>
      </c>
    </row>
    <row r="41" spans="2:10" x14ac:dyDescent="0.2">
      <c r="B41" s="79"/>
      <c r="C41" s="33"/>
      <c r="D41" s="33"/>
      <c r="E41" s="34"/>
      <c r="H41" s="79"/>
      <c r="J41" t="s">
        <v>652</v>
      </c>
    </row>
    <row r="42" spans="2:10" x14ac:dyDescent="0.2">
      <c r="B42" s="80"/>
      <c r="C42" s="78"/>
      <c r="D42" s="78"/>
      <c r="E42" s="36"/>
      <c r="H42" s="80"/>
    </row>
    <row r="43" spans="2:10" x14ac:dyDescent="0.2">
      <c r="B43" s="80"/>
      <c r="C43" s="78"/>
      <c r="D43" s="78"/>
      <c r="E43" s="36"/>
      <c r="H43" s="80"/>
      <c r="J43" t="s">
        <v>653</v>
      </c>
    </row>
    <row r="44" spans="2:10" x14ac:dyDescent="0.2">
      <c r="B44" s="80"/>
      <c r="C44" s="78"/>
      <c r="D44" s="78"/>
      <c r="E44" s="36"/>
      <c r="H44" s="80"/>
    </row>
    <row r="45" spans="2:10" x14ac:dyDescent="0.2">
      <c r="B45" s="80"/>
      <c r="C45" s="78"/>
      <c r="D45" s="78"/>
      <c r="E45" s="36"/>
      <c r="H45" s="80"/>
    </row>
    <row r="46" spans="2:10" x14ac:dyDescent="0.2">
      <c r="B46" s="80"/>
      <c r="C46" s="78"/>
      <c r="D46" s="78"/>
      <c r="E46" s="36"/>
      <c r="H46" s="80"/>
    </row>
    <row r="47" spans="2:10" x14ac:dyDescent="0.2">
      <c r="B47" s="80"/>
      <c r="C47" s="78"/>
      <c r="D47" s="78"/>
      <c r="E47" s="36"/>
      <c r="H47" s="80"/>
    </row>
    <row r="48" spans="2:10" ht="17" thickBot="1" x14ac:dyDescent="0.25">
      <c r="B48" s="80"/>
      <c r="C48" s="78"/>
      <c r="D48" s="78"/>
      <c r="E48" s="36"/>
      <c r="H48" s="80"/>
    </row>
    <row r="49" spans="2:8" x14ac:dyDescent="0.2">
      <c r="B49" s="79"/>
      <c r="C49" s="33"/>
      <c r="D49" s="33"/>
      <c r="E49" s="34"/>
      <c r="H49" s="82"/>
    </row>
    <row r="50" spans="2:8" ht="17" thickBot="1" x14ac:dyDescent="0.25">
      <c r="B50" s="81"/>
      <c r="C50" s="38"/>
      <c r="D50" s="38"/>
      <c r="E50" s="39"/>
      <c r="H50" s="83"/>
    </row>
    <row r="51" spans="2:8" x14ac:dyDescent="0.2">
      <c r="B51" s="80"/>
      <c r="C51" s="78"/>
      <c r="D51" s="78"/>
      <c r="E51" s="36"/>
      <c r="H51" s="80"/>
    </row>
    <row r="52" spans="2:8" x14ac:dyDescent="0.2">
      <c r="B52" s="80"/>
      <c r="C52" s="78"/>
      <c r="D52" s="78"/>
      <c r="E52" s="36"/>
      <c r="H52" s="80"/>
    </row>
    <row r="53" spans="2:8" x14ac:dyDescent="0.2">
      <c r="B53" s="80"/>
      <c r="C53" s="78"/>
      <c r="D53" s="78"/>
      <c r="E53" s="36"/>
      <c r="H53" s="80"/>
    </row>
    <row r="54" spans="2:8" x14ac:dyDescent="0.2">
      <c r="B54" s="80"/>
      <c r="C54" s="78"/>
      <c r="D54" s="78"/>
      <c r="E54" s="36"/>
      <c r="H54" s="80"/>
    </row>
    <row r="55" spans="2:8" x14ac:dyDescent="0.2">
      <c r="B55" s="80"/>
      <c r="C55" s="78"/>
      <c r="D55" s="78"/>
      <c r="E55" s="36"/>
      <c r="H55" s="80"/>
    </row>
    <row r="56" spans="2:8" x14ac:dyDescent="0.2">
      <c r="B56" s="80"/>
      <c r="C56" s="78"/>
      <c r="D56" s="78"/>
      <c r="E56" s="36"/>
      <c r="H56" s="80"/>
    </row>
    <row r="57" spans="2:8" x14ac:dyDescent="0.2">
      <c r="B57" s="80"/>
      <c r="C57" s="78"/>
      <c r="D57" s="78"/>
      <c r="E57" s="36"/>
      <c r="H57" s="80"/>
    </row>
    <row r="58" spans="2:8" ht="17" thickBot="1" x14ac:dyDescent="0.25">
      <c r="B58" s="81"/>
      <c r="C58" s="38"/>
      <c r="D58" s="38"/>
      <c r="E58" s="39"/>
      <c r="H58" s="81"/>
    </row>
    <row r="63" spans="2:8" x14ac:dyDescent="0.2">
      <c r="B63" s="7"/>
    </row>
    <row r="64" spans="2:8" x14ac:dyDescent="0.2">
      <c r="B64" s="7"/>
    </row>
    <row r="65" spans="2:11" x14ac:dyDescent="0.2">
      <c r="B65" s="7"/>
    </row>
    <row r="66" spans="2:11" x14ac:dyDescent="0.2">
      <c r="B66" s="7"/>
    </row>
    <row r="67" spans="2:11" x14ac:dyDescent="0.2">
      <c r="E67" s="7"/>
    </row>
    <row r="68" spans="2:11" x14ac:dyDescent="0.2">
      <c r="E68" s="7"/>
    </row>
    <row r="69" spans="2:11" x14ac:dyDescent="0.2">
      <c r="B69" s="84"/>
      <c r="E69" s="84"/>
    </row>
    <row r="70" spans="2:11" x14ac:dyDescent="0.2">
      <c r="B70" s="84"/>
    </row>
    <row r="71" spans="2:11" x14ac:dyDescent="0.2">
      <c r="B71" s="84"/>
    </row>
    <row r="72" spans="2:11" x14ac:dyDescent="0.2">
      <c r="B72" s="84"/>
    </row>
    <row r="73" spans="2:11" x14ac:dyDescent="0.2">
      <c r="B73" s="84"/>
    </row>
    <row r="76" spans="2:11" x14ac:dyDescent="0.2">
      <c r="C76" t="s">
        <v>654</v>
      </c>
      <c r="D76" t="s">
        <v>655</v>
      </c>
      <c r="F76" t="s">
        <v>654</v>
      </c>
      <c r="K76" t="s">
        <v>661</v>
      </c>
    </row>
    <row r="77" spans="2:11" x14ac:dyDescent="0.2">
      <c r="C77" t="s">
        <v>656</v>
      </c>
      <c r="D77" t="s">
        <v>657</v>
      </c>
      <c r="G77" t="s">
        <v>658</v>
      </c>
      <c r="H77" t="s">
        <v>659</v>
      </c>
    </row>
    <row r="78" spans="2:11" x14ac:dyDescent="0.2">
      <c r="G78" t="s">
        <v>658</v>
      </c>
      <c r="H78" t="s">
        <v>659</v>
      </c>
    </row>
    <row r="79" spans="2:11" x14ac:dyDescent="0.2">
      <c r="G79" t="s">
        <v>658</v>
      </c>
      <c r="H79" t="s">
        <v>659</v>
      </c>
    </row>
    <row r="80" spans="2:11" x14ac:dyDescent="0.2">
      <c r="G80" t="s">
        <v>658</v>
      </c>
      <c r="H80" t="s">
        <v>659</v>
      </c>
    </row>
    <row r="81" spans="7:10" x14ac:dyDescent="0.2">
      <c r="G81" t="s">
        <v>658</v>
      </c>
      <c r="H81" t="s">
        <v>659</v>
      </c>
    </row>
    <row r="82" spans="7:10" ht="17" thickBot="1" x14ac:dyDescent="0.25">
      <c r="G82" t="s">
        <v>658</v>
      </c>
      <c r="H82" t="s">
        <v>659</v>
      </c>
    </row>
    <row r="83" spans="7:10" x14ac:dyDescent="0.2">
      <c r="G83" t="s">
        <v>658</v>
      </c>
      <c r="H83" t="s">
        <v>659</v>
      </c>
      <c r="I83" s="64"/>
    </row>
    <row r="84" spans="7:10" x14ac:dyDescent="0.2">
      <c r="G84" t="s">
        <v>658</v>
      </c>
      <c r="H84" t="s">
        <v>659</v>
      </c>
      <c r="I84" s="65"/>
      <c r="J84" t="s">
        <v>660</v>
      </c>
    </row>
    <row r="85" spans="7:10" ht="17" thickBot="1" x14ac:dyDescent="0.25">
      <c r="G85" t="s">
        <v>658</v>
      </c>
      <c r="H85" t="s">
        <v>659</v>
      </c>
      <c r="I85" s="66"/>
    </row>
    <row r="86" spans="7:10" x14ac:dyDescent="0.2">
      <c r="G86" t="s">
        <v>658</v>
      </c>
      <c r="H86" t="s">
        <v>659</v>
      </c>
    </row>
    <row r="87" spans="7:10" x14ac:dyDescent="0.2">
      <c r="G87" t="s">
        <v>658</v>
      </c>
      <c r="H87" t="s">
        <v>659</v>
      </c>
    </row>
    <row r="88" spans="7:10" x14ac:dyDescent="0.2">
      <c r="G88" t="s">
        <v>658</v>
      </c>
      <c r="H88" t="s">
        <v>659</v>
      </c>
    </row>
    <row r="89" spans="7:10" x14ac:dyDescent="0.2">
      <c r="G89" t="s">
        <v>658</v>
      </c>
      <c r="H89" t="s">
        <v>659</v>
      </c>
    </row>
    <row r="90" spans="7:10" x14ac:dyDescent="0.2">
      <c r="G90" t="s">
        <v>658</v>
      </c>
      <c r="H90" t="s">
        <v>659</v>
      </c>
    </row>
    <row r="91" spans="7:10" x14ac:dyDescent="0.2">
      <c r="G91" t="s">
        <v>658</v>
      </c>
      <c r="H91" t="s">
        <v>659</v>
      </c>
    </row>
    <row r="92" spans="7:10" x14ac:dyDescent="0.2">
      <c r="G92" t="s">
        <v>658</v>
      </c>
      <c r="H92" t="s">
        <v>659</v>
      </c>
    </row>
    <row r="93" spans="7:10" x14ac:dyDescent="0.2">
      <c r="G93" t="s">
        <v>658</v>
      </c>
      <c r="H93" t="s">
        <v>659</v>
      </c>
    </row>
    <row r="94" spans="7:10" x14ac:dyDescent="0.2">
      <c r="G94" t="s">
        <v>658</v>
      </c>
      <c r="H94" t="s">
        <v>659</v>
      </c>
    </row>
    <row r="98" spans="2:11" ht="17" thickBot="1" x14ac:dyDescent="0.25"/>
    <row r="99" spans="2:11" x14ac:dyDescent="0.2">
      <c r="B99" s="23"/>
      <c r="C99" s="24"/>
      <c r="D99" s="24"/>
      <c r="E99" s="25"/>
    </row>
    <row r="100" spans="2:11" x14ac:dyDescent="0.2">
      <c r="B100" s="26"/>
      <c r="C100" s="85"/>
      <c r="D100" s="85"/>
      <c r="E100" s="27"/>
    </row>
    <row r="101" spans="2:11" ht="17" thickBot="1" x14ac:dyDescent="0.25">
      <c r="B101" s="26"/>
      <c r="C101" s="85"/>
      <c r="D101" s="85"/>
      <c r="E101" s="27"/>
    </row>
    <row r="102" spans="2:11" x14ac:dyDescent="0.2">
      <c r="B102" s="26"/>
      <c r="C102" s="85"/>
      <c r="D102" s="85"/>
      <c r="E102" s="27"/>
      <c r="G102" s="23" t="s">
        <v>662</v>
      </c>
      <c r="H102" s="25">
        <v>10</v>
      </c>
    </row>
    <row r="103" spans="2:11" x14ac:dyDescent="0.2">
      <c r="B103" s="26"/>
      <c r="C103" s="85"/>
      <c r="D103" s="85"/>
      <c r="E103" s="27"/>
      <c r="G103" s="26" t="s">
        <v>663</v>
      </c>
      <c r="H103" s="27">
        <v>10</v>
      </c>
    </row>
    <row r="104" spans="2:11" ht="17" thickBot="1" x14ac:dyDescent="0.25">
      <c r="B104" s="26"/>
      <c r="C104" s="85"/>
      <c r="D104" s="85"/>
      <c r="E104" s="27"/>
      <c r="G104" s="28" t="s">
        <v>664</v>
      </c>
      <c r="H104" s="29">
        <v>10</v>
      </c>
    </row>
    <row r="105" spans="2:11" x14ac:dyDescent="0.2">
      <c r="B105" s="26"/>
      <c r="C105" s="85"/>
      <c r="D105" s="85"/>
      <c r="E105" s="27"/>
    </row>
    <row r="106" spans="2:11" ht="17" thickBot="1" x14ac:dyDescent="0.25">
      <c r="B106" s="28"/>
      <c r="C106" s="9"/>
      <c r="D106" s="9"/>
      <c r="E106" s="29"/>
      <c r="J106" t="s">
        <v>662</v>
      </c>
      <c r="K106">
        <v>25</v>
      </c>
    </row>
    <row r="107" spans="2:11" x14ac:dyDescent="0.2">
      <c r="J107" t="s">
        <v>663</v>
      </c>
      <c r="K107">
        <v>30</v>
      </c>
    </row>
    <row r="108" spans="2:11" ht="17" thickBot="1" x14ac:dyDescent="0.25">
      <c r="J108" t="s">
        <v>664</v>
      </c>
      <c r="K108">
        <v>10</v>
      </c>
    </row>
    <row r="109" spans="2:11" x14ac:dyDescent="0.2">
      <c r="B109" s="23"/>
      <c r="C109" s="24"/>
      <c r="D109" s="24"/>
      <c r="E109" s="25"/>
      <c r="J109" t="s">
        <v>665</v>
      </c>
      <c r="K109">
        <v>40</v>
      </c>
    </row>
    <row r="110" spans="2:11" ht="17" thickBot="1" x14ac:dyDescent="0.25">
      <c r="B110" s="26"/>
      <c r="C110" s="85"/>
      <c r="D110" s="85"/>
      <c r="E110" s="27"/>
    </row>
    <row r="111" spans="2:11" x14ac:dyDescent="0.2">
      <c r="B111" s="26"/>
      <c r="C111" s="85"/>
      <c r="D111" s="85"/>
      <c r="E111" s="27"/>
      <c r="G111" s="23" t="s">
        <v>662</v>
      </c>
      <c r="H111" s="25">
        <v>15</v>
      </c>
    </row>
    <row r="112" spans="2:11" x14ac:dyDescent="0.2">
      <c r="B112" s="26"/>
      <c r="C112" s="85"/>
      <c r="D112" s="85"/>
      <c r="E112" s="27"/>
      <c r="G112" s="26" t="s">
        <v>663</v>
      </c>
      <c r="H112" s="27">
        <v>20</v>
      </c>
    </row>
    <row r="113" spans="2:8" ht="17" thickBot="1" x14ac:dyDescent="0.25">
      <c r="B113" s="26"/>
      <c r="C113" s="85"/>
      <c r="D113" s="85"/>
      <c r="E113" s="27"/>
      <c r="G113" s="28" t="s">
        <v>665</v>
      </c>
      <c r="H113" s="29">
        <v>40</v>
      </c>
    </row>
    <row r="114" spans="2:8" x14ac:dyDescent="0.2">
      <c r="B114" s="26"/>
      <c r="C114" s="85"/>
      <c r="D114" s="85"/>
      <c r="E114" s="27"/>
    </row>
    <row r="115" spans="2:8" ht="17" thickBot="1" x14ac:dyDescent="0.25">
      <c r="B115" s="28"/>
      <c r="C115" s="9"/>
      <c r="D115" s="9"/>
      <c r="E115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</vt:lpstr>
      <vt:lpstr>03</vt:lpstr>
      <vt:lpstr>04</vt:lpstr>
      <vt:lpstr>05</vt:lpstr>
      <vt:lpstr>06</vt:lpstr>
      <vt:lpstr>07</vt:lpstr>
      <vt:lpstr>08</vt:lpstr>
      <vt:lpstr>09-10</vt:lpstr>
      <vt:lpstr>11</vt:lpstr>
      <vt:lpstr>12</vt:lpstr>
      <vt:lpstr>13</vt:lpstr>
      <vt:lpstr>14-15</vt:lpstr>
      <vt:lpstr>16</vt:lpstr>
      <vt:lpstr>17</vt:lpstr>
      <vt:lpstr>18</vt:lpstr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2026-06-21T16:17:46Z</dcterms:created>
  <dcterms:modified xsi:type="dcterms:W3CDTF">2026-07-25T16:40:50Z</dcterms:modified>
</cp:coreProperties>
</file>