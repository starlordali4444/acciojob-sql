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ink/ink1.xml" ContentType="application/inkml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drawings/drawing5.xml" ContentType="application/vnd.openxmlformats-officedocument.drawing+xml"/>
  <Override PartName="/xl/ink/ink18.xml" ContentType="application/inkml+xml"/>
  <Override PartName="/xl/ink/ink19.xml" ContentType="application/inkml+xml"/>
  <Override PartName="/xl/drawings/drawing6.xml" ContentType="application/vnd.openxmlformats-officedocument.drawing+xml"/>
  <Override PartName="/xl/ink/ink20.xml" ContentType="application/inkml+xml"/>
  <Override PartName="/xl/ink/ink21.xml" ContentType="application/inkml+xml"/>
  <Override PartName="/xl/ink/ink22.xml" ContentType="application/inkml+xml"/>
  <Override PartName="/xl/drawings/drawing7.xml" ContentType="application/vnd.openxmlformats-officedocument.drawing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ALI_2/work/acciojob/modules/sql/postgresql/batch_notes/27/"/>
    </mc:Choice>
  </mc:AlternateContent>
  <xr:revisionPtr revIDLastSave="0" documentId="13_ncr:1_{4DE541D2-9C85-484D-8B51-C23609CFEF88}" xr6:coauthVersionLast="47" xr6:coauthVersionMax="47" xr10:uidLastSave="{00000000-0000-0000-0000-000000000000}"/>
  <bookViews>
    <workbookView xWindow="-38400" yWindow="-2480" windowWidth="38400" windowHeight="21600" activeTab="12" xr2:uid="{43D057EC-24A4-D14F-BD50-FDFE67984E9E}"/>
  </bookViews>
  <sheets>
    <sheet name="01" sheetId="1" r:id="rId1"/>
    <sheet name="03" sheetId="2" r:id="rId2"/>
    <sheet name="04" sheetId="3" r:id="rId3"/>
    <sheet name="05" sheetId="4" r:id="rId4"/>
    <sheet name="06" sheetId="5" r:id="rId5"/>
    <sheet name="07" sheetId="6" r:id="rId6"/>
    <sheet name="08" sheetId="7" r:id="rId7"/>
    <sheet name="09-10" sheetId="8" r:id="rId8"/>
    <sheet name="11" sheetId="9" r:id="rId9"/>
    <sheet name="12" sheetId="10" r:id="rId10"/>
    <sheet name="13" sheetId="11" r:id="rId11"/>
    <sheet name="14-15" sheetId="12" r:id="rId12"/>
    <sheet name="16" sheetId="13" r:id="rId13"/>
  </sheets>
  <calcPr calcId="191029"/>
  <pivotCaches>
    <pivotCache cacheId="0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57" i="12" l="1" a="1"/>
  <c r="G55" i="12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7" i="10"/>
  <c r="I7" i="10"/>
  <c r="I22" i="9"/>
  <c r="I12" i="7"/>
  <c r="H12" i="7"/>
  <c r="G12" i="7"/>
  <c r="F13" i="7"/>
  <c r="F14" i="7"/>
  <c r="F12" i="7"/>
  <c r="F21" i="5"/>
  <c r="E21" i="5"/>
  <c r="C17" i="5" a="1"/>
  <c r="C14" i="5" a="1"/>
  <c r="E4" i="5"/>
  <c r="C20" i="2"/>
  <c r="K7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<sst xmlns="http://schemas.openxmlformats.org/spreadsheetml/2006/main" count="1112" uniqueCount="591">
  <si>
    <t>RDBMS</t>
  </si>
  <si>
    <t>Database</t>
  </si>
  <si>
    <t>Schema</t>
  </si>
  <si>
    <t>Logical category</t>
  </si>
  <si>
    <t>Tables</t>
  </si>
  <si>
    <t>Views</t>
  </si>
  <si>
    <t>M Views</t>
  </si>
  <si>
    <t>Index</t>
  </si>
  <si>
    <t>Columns</t>
  </si>
  <si>
    <t>Function</t>
  </si>
  <si>
    <t>DDL</t>
  </si>
  <si>
    <t>Data Types</t>
  </si>
  <si>
    <t>Shiraj</t>
  </si>
  <si>
    <t>Column1</t>
  </si>
  <si>
    <t>Numeric</t>
  </si>
  <si>
    <t>smallint</t>
  </si>
  <si>
    <t>int</t>
  </si>
  <si>
    <t>bigint</t>
  </si>
  <si>
    <t>serial</t>
  </si>
  <si>
    <t>bigserial</t>
  </si>
  <si>
    <t>numeric</t>
  </si>
  <si>
    <t>real</t>
  </si>
  <si>
    <t>double_prec</t>
  </si>
  <si>
    <t>String</t>
  </si>
  <si>
    <t>char</t>
  </si>
  <si>
    <t>varchar</t>
  </si>
  <si>
    <t>text</t>
  </si>
  <si>
    <t>S</t>
  </si>
  <si>
    <t>I</t>
  </si>
  <si>
    <t>R</t>
  </si>
  <si>
    <t>A</t>
  </si>
  <si>
    <t>J</t>
  </si>
  <si>
    <t>2 GB</t>
  </si>
  <si>
    <t>\0</t>
  </si>
  <si>
    <t>Size</t>
  </si>
  <si>
    <t>5 Byte</t>
  </si>
  <si>
    <t>7 Byte</t>
  </si>
  <si>
    <t>Varing character</t>
  </si>
  <si>
    <t>000111</t>
  </si>
  <si>
    <t>DATE</t>
  </si>
  <si>
    <t>TIME</t>
  </si>
  <si>
    <t>TIMESTAMP</t>
  </si>
  <si>
    <t>TIMESTAMPTZ</t>
  </si>
  <si>
    <t>INTERVAL</t>
  </si>
  <si>
    <t>user_id</t>
  </si>
  <si>
    <t>manually</t>
  </si>
  <si>
    <t>Y</t>
  </si>
  <si>
    <t>N</t>
  </si>
  <si>
    <t>error</t>
  </si>
  <si>
    <t>Error</t>
  </si>
  <si>
    <t>serial | PK</t>
  </si>
  <si>
    <t xml:space="preserve">serial </t>
  </si>
  <si>
    <t>Apple</t>
  </si>
  <si>
    <t>Bicycle</t>
  </si>
  <si>
    <t>Pen</t>
  </si>
  <si>
    <t>NULL</t>
  </si>
  <si>
    <t>Unique</t>
  </si>
  <si>
    <t>Primary Key</t>
  </si>
  <si>
    <t>Unique + Not Null + Reference</t>
  </si>
  <si>
    <t>Foreign Key</t>
  </si>
  <si>
    <t>Employee</t>
  </si>
  <si>
    <t>emp_id</t>
  </si>
  <si>
    <t>emp_name</t>
  </si>
  <si>
    <t>emp_address</t>
  </si>
  <si>
    <t>Salary</t>
  </si>
  <si>
    <t>salary_id</t>
  </si>
  <si>
    <t>salary</t>
  </si>
  <si>
    <t>PK</t>
  </si>
  <si>
    <t>FK</t>
  </si>
  <si>
    <t>Salary_history</t>
  </si>
  <si>
    <t>orderf_items</t>
  </si>
  <si>
    <t>order_id</t>
  </si>
  <si>
    <t>prod_id</t>
  </si>
  <si>
    <t>Emp_id</t>
  </si>
  <si>
    <t>string</t>
  </si>
  <si>
    <t>E0001</t>
  </si>
  <si>
    <t>Cat</t>
  </si>
  <si>
    <t>cat_id</t>
  </si>
  <si>
    <t>cat_name</t>
  </si>
  <si>
    <t>brand</t>
  </si>
  <si>
    <t>brand_id</t>
  </si>
  <si>
    <t>brand_name</t>
  </si>
  <si>
    <t>Parent</t>
  </si>
  <si>
    <t>Child</t>
  </si>
  <si>
    <t>cat</t>
  </si>
  <si>
    <t>Orphan</t>
  </si>
  <si>
    <t>DELETE 3</t>
  </si>
  <si>
    <t>CASCADE</t>
  </si>
  <si>
    <t>Force something which was restricted</t>
  </si>
  <si>
    <t>DELETE from table</t>
  </si>
  <si>
    <t>delete from table cascade</t>
  </si>
  <si>
    <t>violating foreign</t>
  </si>
  <si>
    <t xml:space="preserve">Default </t>
  </si>
  <si>
    <t xml:space="preserve">ON delete </t>
  </si>
  <si>
    <t>Restricted</t>
  </si>
  <si>
    <t>Don’t allow delete</t>
  </si>
  <si>
    <t>Cascade</t>
  </si>
  <si>
    <t>It will delete all child records</t>
  </si>
  <si>
    <t>on delete</t>
  </si>
  <si>
    <t>Set NULL</t>
  </si>
  <si>
    <t>When pareent is deleted set all child to null</t>
  </si>
  <si>
    <t>It will forcefullly delete parent but will not touch child at all</t>
  </si>
  <si>
    <t xml:space="preserve">drop </t>
  </si>
  <si>
    <t>Order Placed</t>
  </si>
  <si>
    <t>Lucknow</t>
  </si>
  <si>
    <t>Amazon</t>
  </si>
  <si>
    <t>Seller</t>
  </si>
  <si>
    <t>Kanyakumari</t>
  </si>
  <si>
    <t>Land</t>
  </si>
  <si>
    <t>Storage</t>
  </si>
  <si>
    <t>Blueprint</t>
  </si>
  <si>
    <t>Fill Products</t>
  </si>
  <si>
    <t>Remove Products</t>
  </si>
  <si>
    <t>Update Products</t>
  </si>
  <si>
    <t>DML</t>
  </si>
  <si>
    <t>insert</t>
  </si>
  <si>
    <t>delete</t>
  </si>
  <si>
    <t>update</t>
  </si>
  <si>
    <t>Retrieval of product</t>
  </si>
  <si>
    <t>DQL</t>
  </si>
  <si>
    <t>select</t>
  </si>
  <si>
    <t>DCL</t>
  </si>
  <si>
    <t>Grant</t>
  </si>
  <si>
    <t>Revoke</t>
  </si>
  <si>
    <t>TCL</t>
  </si>
  <si>
    <t>Begin</t>
  </si>
  <si>
    <t>Commit</t>
  </si>
  <si>
    <t>rollback</t>
  </si>
  <si>
    <t>Savepoint</t>
  </si>
  <si>
    <t>All</t>
  </si>
  <si>
    <t>Mystery</t>
  </si>
  <si>
    <t>Published after 2020 and indian author</t>
  </si>
  <si>
    <t>Name starts with S</t>
  </si>
  <si>
    <t>Price range 200-500</t>
  </si>
  <si>
    <t>Hindi or English</t>
  </si>
  <si>
    <t>only unique authors</t>
  </si>
  <si>
    <t>newest first</t>
  </si>
  <si>
    <t>show me 10</t>
  </si>
  <si>
    <t>category</t>
  </si>
  <si>
    <t>if category = Mystery</t>
  </si>
  <si>
    <t>s*</t>
  </si>
  <si>
    <t>*s</t>
  </si>
  <si>
    <t>*s*</t>
  </si>
  <si>
    <t>Category = NULL</t>
  </si>
  <si>
    <t>category is null</t>
  </si>
  <si>
    <t>s%</t>
  </si>
  <si>
    <t>%s</t>
  </si>
  <si>
    <t>%s%</t>
  </si>
  <si>
    <t>`1-10</t>
  </si>
  <si>
    <t>`11-20</t>
  </si>
  <si>
    <t>`21-30</t>
  </si>
  <si>
    <t xml:space="preserve">Medallion </t>
  </si>
  <si>
    <t>Bronze</t>
  </si>
  <si>
    <t>Silver</t>
  </si>
  <si>
    <t>Gold</t>
  </si>
  <si>
    <t>Raw</t>
  </si>
  <si>
    <t>No change</t>
  </si>
  <si>
    <t>Data Modeling</t>
  </si>
  <si>
    <t>Data Cleaning</t>
  </si>
  <si>
    <t>Data Transformation</t>
  </si>
  <si>
    <t>Our way of storing the data</t>
  </si>
  <si>
    <t>Consumption</t>
  </si>
  <si>
    <t>Data Transformation as per business requirement</t>
  </si>
  <si>
    <t>Power BI</t>
  </si>
  <si>
    <t>Tableau</t>
  </si>
  <si>
    <t>Excel</t>
  </si>
  <si>
    <t>Quick look</t>
  </si>
  <si>
    <t>Spotfire</t>
  </si>
  <si>
    <t>Vizier</t>
  </si>
  <si>
    <t>Functions</t>
  </si>
  <si>
    <t>Argument List</t>
  </si>
  <si>
    <t>Return Value</t>
  </si>
  <si>
    <t>Function Name</t>
  </si>
  <si>
    <t>FROM 1 for 5</t>
  </si>
  <si>
    <t>start from 1</t>
  </si>
  <si>
    <t>take 5 characters</t>
  </si>
  <si>
    <t>FROM 5</t>
  </si>
  <si>
    <t>start from 5</t>
  </si>
  <si>
    <t>take till end</t>
  </si>
  <si>
    <t>FOR 5</t>
  </si>
  <si>
    <t>start from beginning</t>
  </si>
  <si>
    <t>siraj.ahmad@gmail.com</t>
  </si>
  <si>
    <t>Upper</t>
  </si>
  <si>
    <t>Lower</t>
  </si>
  <si>
    <t>Initcap</t>
  </si>
  <si>
    <t>concat</t>
  </si>
  <si>
    <t>Length</t>
  </si>
  <si>
    <t>substring</t>
  </si>
  <si>
    <t>position</t>
  </si>
  <si>
    <t>split_part</t>
  </si>
  <si>
    <t>left</t>
  </si>
  <si>
    <t>right</t>
  </si>
  <si>
    <t>trim</t>
  </si>
  <si>
    <t>ltrim</t>
  </si>
  <si>
    <t>rtrim</t>
  </si>
  <si>
    <t>replace</t>
  </si>
  <si>
    <t>Regular Expression</t>
  </si>
  <si>
    <t>A-Z</t>
  </si>
  <si>
    <t>a-z</t>
  </si>
  <si>
    <t>0-9</t>
  </si>
  <si>
    <t>NOW</t>
  </si>
  <si>
    <t>today</t>
  </si>
  <si>
    <t>year</t>
  </si>
  <si>
    <t>month</t>
  </si>
  <si>
    <t>date</t>
  </si>
  <si>
    <t>day</t>
  </si>
  <si>
    <t>edate</t>
  </si>
  <si>
    <t>emonth</t>
  </si>
  <si>
    <t>hour</t>
  </si>
  <si>
    <t>minute</t>
  </si>
  <si>
    <t>second</t>
  </si>
  <si>
    <t>weekday</t>
  </si>
  <si>
    <t>weeknum</t>
  </si>
  <si>
    <t>current_date</t>
  </si>
  <si>
    <t>current_time</t>
  </si>
  <si>
    <t>current_timestamp</t>
  </si>
  <si>
    <t>extract</t>
  </si>
  <si>
    <t>quarter</t>
  </si>
  <si>
    <t>dow</t>
  </si>
  <si>
    <t>isodow</t>
  </si>
  <si>
    <t>seconds</t>
  </si>
  <si>
    <t>epoch</t>
  </si>
  <si>
    <t>Age</t>
  </si>
  <si>
    <t>Interval</t>
  </si>
  <si>
    <t>`2025-05-06</t>
  </si>
  <si>
    <t>to_char</t>
  </si>
  <si>
    <t>order_date</t>
  </si>
  <si>
    <t>`2026-07-05</t>
  </si>
  <si>
    <t>first_day_of_year</t>
  </si>
  <si>
    <t>`2025-01-01</t>
  </si>
  <si>
    <t>first_day_of_month</t>
  </si>
  <si>
    <t>`2025-05-01</t>
  </si>
  <si>
    <t>date_trunc</t>
  </si>
  <si>
    <t>Marks</t>
  </si>
  <si>
    <t>90+</t>
  </si>
  <si>
    <t>A+</t>
  </si>
  <si>
    <t>80-90</t>
  </si>
  <si>
    <t>70-80</t>
  </si>
  <si>
    <t>B</t>
  </si>
  <si>
    <t>60-70</t>
  </si>
  <si>
    <t>C</t>
  </si>
  <si>
    <t>50-60</t>
  </si>
  <si>
    <t>D</t>
  </si>
  <si>
    <t>40-50</t>
  </si>
  <si>
    <t>E</t>
  </si>
  <si>
    <t>33-40</t>
  </si>
  <si>
    <t>F</t>
  </si>
  <si>
    <t>Otherwise</t>
  </si>
  <si>
    <t>Fail</t>
  </si>
  <si>
    <t>Grade</t>
  </si>
  <si>
    <t xml:space="preserve">Day </t>
  </si>
  <si>
    <t>Sunday</t>
  </si>
  <si>
    <t>Monday</t>
  </si>
  <si>
    <t>Tuesday</t>
  </si>
  <si>
    <t>Wednesday</t>
  </si>
  <si>
    <t>Thursday</t>
  </si>
  <si>
    <t>Friday</t>
  </si>
  <si>
    <t>Saturday</t>
  </si>
  <si>
    <t>Equality</t>
  </si>
  <si>
    <t>Case</t>
  </si>
  <si>
    <t>Placement</t>
  </si>
  <si>
    <t>Select</t>
  </si>
  <si>
    <t>Where</t>
  </si>
  <si>
    <t>Order by</t>
  </si>
  <si>
    <t>Custom Sort</t>
  </si>
  <si>
    <t>KPI</t>
  </si>
  <si>
    <t>Count</t>
  </si>
  <si>
    <t>Sum</t>
  </si>
  <si>
    <t>Avg</t>
  </si>
  <si>
    <t>then 1</t>
  </si>
  <si>
    <t>for other it takes null</t>
  </si>
  <si>
    <t>then amount</t>
  </si>
  <si>
    <t>Show Label. / Conditional Columns</t>
  </si>
  <si>
    <t>Filters the values as per result from case</t>
  </si>
  <si>
    <t>x</t>
  </si>
  <si>
    <t>y</t>
  </si>
  <si>
    <t>Filtering</t>
  </si>
  <si>
    <t>Type Casting</t>
  </si>
  <si>
    <t>Implicit</t>
  </si>
  <si>
    <t>Explicit</t>
  </si>
  <si>
    <t>Automattically by DBMS</t>
  </si>
  <si>
    <t>By User / BY Force</t>
  </si>
  <si>
    <t>Shorthand =&gt; ::</t>
  </si>
  <si>
    <t>Function =&gt; Cast</t>
  </si>
  <si>
    <t>Mobile 1</t>
  </si>
  <si>
    <t>home 1</t>
  </si>
  <si>
    <t>Office 1</t>
  </si>
  <si>
    <t>Mobile 2</t>
  </si>
  <si>
    <t>Default</t>
  </si>
  <si>
    <t xml:space="preserve">Mobile </t>
  </si>
  <si>
    <t>Coalesce</t>
  </si>
  <si>
    <t>Case When</t>
  </si>
  <si>
    <t>(mobile , -1)</t>
  </si>
  <si>
    <t>when mobile is null then -1 else mobile</t>
  </si>
  <si>
    <t>Scalar</t>
  </si>
  <si>
    <t>Aggregate</t>
  </si>
  <si>
    <t>Input</t>
  </si>
  <si>
    <t>Output</t>
  </si>
  <si>
    <t>1 Row</t>
  </si>
  <si>
    <t>N Rows</t>
  </si>
  <si>
    <t>Aggregate + Group By</t>
  </si>
  <si>
    <t>m Rows</t>
  </si>
  <si>
    <t xml:space="preserve"> m is unique categorical value</t>
  </si>
  <si>
    <t>Employee Name</t>
  </si>
  <si>
    <t>Siraj</t>
  </si>
  <si>
    <t>Rahul</t>
  </si>
  <si>
    <t>Mohan</t>
  </si>
  <si>
    <t>Dept</t>
  </si>
  <si>
    <t>Aggregate  + Group By</t>
  </si>
  <si>
    <t>Row Labels</t>
  </si>
  <si>
    <t>Grand Total</t>
  </si>
  <si>
    <t>Sum of Salary</t>
  </si>
  <si>
    <t>The Five</t>
  </si>
  <si>
    <t>Count(column_name)</t>
  </si>
  <si>
    <t>Sum(column_name)</t>
  </si>
  <si>
    <t>Avg(column_name)</t>
  </si>
  <si>
    <t>Min(column_name)</t>
  </si>
  <si>
    <t>Max(column_name)</t>
  </si>
  <si>
    <t>Skip Null Values</t>
  </si>
  <si>
    <t>Count(*)</t>
  </si>
  <si>
    <t>Count(Distinct Col_name)</t>
  </si>
  <si>
    <t>Order Of Execution</t>
  </si>
  <si>
    <t>*</t>
  </si>
  <si>
    <t>Column_name</t>
  </si>
  <si>
    <t>Agg(column_name)</t>
  </si>
  <si>
    <t>Nullif</t>
  </si>
  <si>
    <t>Subquery</t>
  </si>
  <si>
    <t>From</t>
  </si>
  <si>
    <t>Table</t>
  </si>
  <si>
    <t>Join</t>
  </si>
  <si>
    <t>5 ,10 ,100</t>
  </si>
  <si>
    <t>Group By</t>
  </si>
  <si>
    <t>Summarise</t>
  </si>
  <si>
    <t>Having</t>
  </si>
  <si>
    <t>Filter on summarised Data</t>
  </si>
  <si>
    <t>Order By</t>
  </si>
  <si>
    <t>Sorting</t>
  </si>
  <si>
    <t>Limit</t>
  </si>
  <si>
    <t>Limiting visible Rows</t>
  </si>
  <si>
    <t>Offset</t>
  </si>
  <si>
    <t>Pagination</t>
  </si>
  <si>
    <t>Group by</t>
  </si>
  <si>
    <t>Col1_col2_col3</t>
  </si>
  <si>
    <t>any non aggregate column in select should be part of group by clause</t>
  </si>
  <si>
    <t xml:space="preserve">Select </t>
  </si>
  <si>
    <t>z</t>
  </si>
  <si>
    <t>na</t>
  </si>
  <si>
    <t>a</t>
  </si>
  <si>
    <t xml:space="preserve">group by </t>
  </si>
  <si>
    <t>distinct</t>
  </si>
  <si>
    <t>order by</t>
  </si>
  <si>
    <t>limit</t>
  </si>
  <si>
    <t>offset</t>
  </si>
  <si>
    <t>Ram is r</t>
  </si>
  <si>
    <t>Postgres</t>
  </si>
  <si>
    <t>MySQL</t>
  </si>
  <si>
    <t>Sqlite</t>
  </si>
  <si>
    <t>Snoflake</t>
  </si>
  <si>
    <t>BigQuery</t>
  </si>
  <si>
    <t>MS SQL Server</t>
  </si>
  <si>
    <t>Oracle</t>
  </si>
  <si>
    <t>id</t>
  </si>
  <si>
    <t>dept</t>
  </si>
  <si>
    <t>Name</t>
  </si>
  <si>
    <t>b</t>
  </si>
  <si>
    <t>c</t>
  </si>
  <si>
    <t>d</t>
  </si>
  <si>
    <t>Name Group</t>
  </si>
  <si>
    <t>a,b,c,d</t>
  </si>
  <si>
    <t>Scalar Function</t>
  </si>
  <si>
    <t>Aggregate Function</t>
  </si>
  <si>
    <t>1 to 1</t>
  </si>
  <si>
    <t>M to 1</t>
  </si>
  <si>
    <t>Aggregate Function + Group By</t>
  </si>
  <si>
    <t>M to N</t>
  </si>
  <si>
    <t>N is unique categorical Value</t>
  </si>
  <si>
    <t>Every non Aggregate column which is present in select should be part of group by clause</t>
  </si>
  <si>
    <t>e</t>
  </si>
  <si>
    <t>col</t>
  </si>
  <si>
    <t>a | b | c| d | e | f |</t>
  </si>
  <si>
    <t>count</t>
  </si>
  <si>
    <t>sum</t>
  </si>
  <si>
    <t>average</t>
  </si>
  <si>
    <t>min</t>
  </si>
  <si>
    <t>max</t>
  </si>
  <si>
    <t>string_agg</t>
  </si>
  <si>
    <t>School Reunion</t>
  </si>
  <si>
    <t>List A</t>
  </si>
  <si>
    <t>All Graduates</t>
  </si>
  <si>
    <t>Roll No</t>
  </si>
  <si>
    <t>List B</t>
  </si>
  <si>
    <t>RSVP</t>
  </si>
  <si>
    <t>Total</t>
  </si>
  <si>
    <t xml:space="preserve">Total </t>
  </si>
  <si>
    <t>Matching</t>
  </si>
  <si>
    <t>Only in List A</t>
  </si>
  <si>
    <t>Only in List B</t>
  </si>
  <si>
    <t>Planning Trip</t>
  </si>
  <si>
    <t>Group 1</t>
  </si>
  <si>
    <t>From List A don’t know  other from list B</t>
  </si>
  <si>
    <t>From List B don’t know  other from list A</t>
  </si>
  <si>
    <t>Table A</t>
  </si>
  <si>
    <t>Table B</t>
  </si>
  <si>
    <t>Matching Records</t>
  </si>
  <si>
    <t>Inner Join</t>
  </si>
  <si>
    <t>only in List A</t>
  </si>
  <si>
    <t>Table A - Table B</t>
  </si>
  <si>
    <t>Table B - Table A</t>
  </si>
  <si>
    <t>Left Join</t>
  </si>
  <si>
    <t>Right Join</t>
  </si>
  <si>
    <t>List A ( + Matching List B)</t>
  </si>
  <si>
    <t>List B (+ Matching List A)</t>
  </si>
  <si>
    <t>Ways to combine tables together</t>
  </si>
  <si>
    <t>Horizontally</t>
  </si>
  <si>
    <t>Vertically</t>
  </si>
  <si>
    <t>Joins =&gt; Whenever we have to combine table horizontally we need one common Column between them</t>
  </si>
  <si>
    <t>Rohan</t>
  </si>
  <si>
    <t>Seema</t>
  </si>
  <si>
    <t>Class 10 A</t>
  </si>
  <si>
    <t>Class 10 B</t>
  </si>
  <si>
    <t>Union</t>
  </si>
  <si>
    <t>No Of Column should be same</t>
  </si>
  <si>
    <t>The data Type Should be same in respective columns</t>
  </si>
  <si>
    <t>Text</t>
  </si>
  <si>
    <t>Column names will be taken from first table only</t>
  </si>
  <si>
    <t>Types</t>
  </si>
  <si>
    <t>ID</t>
  </si>
  <si>
    <t>Select * from table_a inner join table_b on table_a.id =table_b.id</t>
  </si>
  <si>
    <t>Left</t>
  </si>
  <si>
    <t>Right</t>
  </si>
  <si>
    <t>Table_a</t>
  </si>
  <si>
    <t>Table_b</t>
  </si>
  <si>
    <t>Select * from table_a left join table_b on table_a.id =table_b.id</t>
  </si>
  <si>
    <t>Select * from table_a right join table_b on table_a.id =table_b.id</t>
  </si>
  <si>
    <t>Select * from table_b left join table_a on table_a.id =table_b.id</t>
  </si>
  <si>
    <t>Select * from table_a full join table_b on table_a.id =table_b.id</t>
  </si>
  <si>
    <t>Full Join</t>
  </si>
  <si>
    <t>join</t>
  </si>
  <si>
    <t>Left Outer Join</t>
  </si>
  <si>
    <t>Right Outer Join</t>
  </si>
  <si>
    <t>Full Outer Join</t>
  </si>
  <si>
    <t>core.dim_department</t>
  </si>
  <si>
    <t>dept_id</t>
  </si>
  <si>
    <t>sales.orders</t>
  </si>
  <si>
    <t>cust_id</t>
  </si>
  <si>
    <t>payment_mode_id</t>
  </si>
  <si>
    <t>store_id</t>
  </si>
  <si>
    <t>only in List A ( + Matching List B)</t>
  </si>
  <si>
    <t>Only in List B (+ Matching List A)</t>
  </si>
  <si>
    <t>Self Attested</t>
  </si>
  <si>
    <t>Common Column</t>
  </si>
  <si>
    <t>Inner</t>
  </si>
  <si>
    <t xml:space="preserve">Full </t>
  </si>
  <si>
    <t>Self-Join</t>
  </si>
  <si>
    <t>Select * from table_a a join table_a a_ on a.id-a_.id</t>
  </si>
  <si>
    <t>Id</t>
  </si>
  <si>
    <t>a.dept_id= b.dept_id</t>
  </si>
  <si>
    <t xml:space="preserve"> and a.id&lt;b.id</t>
  </si>
  <si>
    <t xml:space="preserve">Combine table two ways </t>
  </si>
  <si>
    <t>Horizontal</t>
  </si>
  <si>
    <t>Vertical</t>
  </si>
  <si>
    <t>Joins</t>
  </si>
  <si>
    <t>Same No of columns</t>
  </si>
  <si>
    <t>and same data type respectively</t>
  </si>
  <si>
    <t>matching</t>
  </si>
  <si>
    <t>Left all</t>
  </si>
  <si>
    <t>Non matching</t>
  </si>
  <si>
    <t xml:space="preserve">Right </t>
  </si>
  <si>
    <t>Right All</t>
  </si>
  <si>
    <t>Everything from Left and Right</t>
  </si>
  <si>
    <t>Same Tables</t>
  </si>
  <si>
    <t>Col1</t>
  </si>
  <si>
    <t>Col2</t>
  </si>
  <si>
    <t>Col3</t>
  </si>
  <si>
    <t>Union All</t>
  </si>
  <si>
    <t>Class 10</t>
  </si>
  <si>
    <t>No Of Students</t>
  </si>
  <si>
    <t>Subquery =&gt; query within the query</t>
  </si>
  <si>
    <t>Multi Row</t>
  </si>
  <si>
    <t>Derived Tables</t>
  </si>
  <si>
    <t>1 Column</t>
  </si>
  <si>
    <t>M Rows</t>
  </si>
  <si>
    <t>N Columns</t>
  </si>
  <si>
    <t>Guest_name</t>
  </si>
  <si>
    <t>Is_VIP</t>
  </si>
  <si>
    <t>City</t>
  </si>
  <si>
    <t>Delhi</t>
  </si>
  <si>
    <t>Gurgoan</t>
  </si>
  <si>
    <t>name</t>
  </si>
  <si>
    <t>payment_id</t>
  </si>
  <si>
    <t>employee_id</t>
  </si>
  <si>
    <t>payment_date</t>
  </si>
  <si>
    <t>first_salary</t>
  </si>
  <si>
    <t>employee.id = salary_history.id</t>
  </si>
  <si>
    <t>Inner_query</t>
  </si>
  <si>
    <t>Step 2</t>
  </si>
  <si>
    <t>Outer_query</t>
  </si>
  <si>
    <t>Step 1</t>
  </si>
  <si>
    <t xml:space="preserve">outer Linked with inner one </t>
  </si>
  <si>
    <t>Subquery + link between outer and inner query through columns of inner or Outer query =&gt; Correlated Subquery</t>
  </si>
  <si>
    <t>Retailmart</t>
  </si>
  <si>
    <t>16 Schema</t>
  </si>
  <si>
    <t>55 Tables</t>
  </si>
  <si>
    <t xml:space="preserve">A New Intern </t>
  </si>
  <si>
    <t>Joined</t>
  </si>
  <si>
    <t>One giant Table</t>
  </si>
  <si>
    <t>Customer Info</t>
  </si>
  <si>
    <t>Order Details</t>
  </si>
  <si>
    <t>Product Info</t>
  </si>
  <si>
    <t>Store Info</t>
  </si>
  <si>
    <t>Addresses</t>
  </si>
  <si>
    <t>The Senior Data Engineer</t>
  </si>
  <si>
    <t>Delete</t>
  </si>
  <si>
    <t>Insert</t>
  </si>
  <si>
    <t>Update</t>
  </si>
  <si>
    <t>Anomaly</t>
  </si>
  <si>
    <t>Orders</t>
  </si>
  <si>
    <t>prod_ids</t>
  </si>
  <si>
    <t>1,2,3</t>
  </si>
  <si>
    <t>Order_items</t>
  </si>
  <si>
    <t>Order_id</t>
  </si>
  <si>
    <t>Normalization</t>
  </si>
  <si>
    <t>1NF</t>
  </si>
  <si>
    <t>Atomic Value in cell</t>
  </si>
  <si>
    <t>2 NF</t>
  </si>
  <si>
    <t>Only when we have composite Primary Key</t>
  </si>
  <si>
    <t>No Partial Dependency</t>
  </si>
  <si>
    <t>id_1</t>
  </si>
  <si>
    <t>id_2</t>
  </si>
  <si>
    <t>Composite PK</t>
  </si>
  <si>
    <t>col1</t>
  </si>
  <si>
    <t>col2</t>
  </si>
  <si>
    <t>col3</t>
  </si>
  <si>
    <t>Family Tree</t>
  </si>
  <si>
    <t>GrandFather</t>
  </si>
  <si>
    <t>GrandMOther</t>
  </si>
  <si>
    <t>Father</t>
  </si>
  <si>
    <t>Mother</t>
  </si>
  <si>
    <t xml:space="preserve">Uncle </t>
  </si>
  <si>
    <t>Aunty</t>
  </si>
  <si>
    <t>You</t>
  </si>
  <si>
    <t>Sibliing</t>
  </si>
  <si>
    <t>Cousin</t>
  </si>
  <si>
    <t>Wife</t>
  </si>
  <si>
    <t>Kids</t>
  </si>
  <si>
    <t>3 NF</t>
  </si>
  <si>
    <t>No Transitive Dependency</t>
  </si>
  <si>
    <t>Ali</t>
  </si>
  <si>
    <t>C57</t>
  </si>
  <si>
    <t>Session</t>
  </si>
  <si>
    <t>Ctrl N</t>
  </si>
  <si>
    <t>Çtrl Z</t>
  </si>
  <si>
    <t>New / Start</t>
  </si>
  <si>
    <t>Undo</t>
  </si>
  <si>
    <t>Ctrl S</t>
  </si>
  <si>
    <t>Save</t>
  </si>
  <si>
    <t>Version History</t>
  </si>
  <si>
    <t>Rollback</t>
  </si>
  <si>
    <t>dept_name</t>
  </si>
  <si>
    <t>employee_name</t>
  </si>
  <si>
    <t>Customer Support</t>
  </si>
  <si>
    <t>Januja Chaudhari</t>
  </si>
  <si>
    <t>Priya Rastogi</t>
  </si>
  <si>
    <t>Udyati Ramesh</t>
  </si>
  <si>
    <t>Veda Chadha</t>
  </si>
  <si>
    <t>Manan Pingle</t>
  </si>
  <si>
    <t>Omya Chaudhuri</t>
  </si>
  <si>
    <t>Finance</t>
  </si>
  <si>
    <t>Charvi Kannan</t>
  </si>
  <si>
    <t>Eta Gulati</t>
  </si>
  <si>
    <t>Forum Vala</t>
  </si>
  <si>
    <t>Charvi Sastry</t>
  </si>
  <si>
    <t>Wyatt Bhakta</t>
  </si>
  <si>
    <t>HR</t>
  </si>
  <si>
    <t>Veer Saran</t>
  </si>
  <si>
    <t>Chavvi Chander</t>
  </si>
  <si>
    <t>Tamanna Khare</t>
  </si>
  <si>
    <t>Gaurav Banerjee</t>
  </si>
  <si>
    <t>Zarna Kota</t>
  </si>
  <si>
    <t>Harrison Behl</t>
  </si>
  <si>
    <t>Isaiah Vora</t>
  </si>
  <si>
    <t>Rank</t>
  </si>
  <si>
    <t>Row_number</t>
  </si>
  <si>
    <t>Over()</t>
  </si>
  <si>
    <t>aggregate() / Window()</t>
  </si>
  <si>
    <t xml:space="preserve">Partition by </t>
  </si>
  <si>
    <t>Create window in the table</t>
  </si>
  <si>
    <t>Order data in that window</t>
  </si>
  <si>
    <t>If no partiton by given whole table will be considered as a window</t>
  </si>
  <si>
    <t>Row_Number</t>
  </si>
  <si>
    <t>Dense_rank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</si>
</sst>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49" fontId="0" fillId="0" borderId="0" xfId="0" applyNumberFormat="1"/>
    <xf numFmtId="22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10" xfId="0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5" borderId="7" xfId="0" applyFill="1" applyBorder="1"/>
    <xf numFmtId="0" fontId="0" fillId="5" borderId="0" xfId="0" applyFill="1"/>
    <xf numFmtId="0" fontId="0" fillId="5" borderId="9" xfId="0" applyFill="1" applyBorder="1"/>
    <xf numFmtId="0" fontId="0" fillId="5" borderId="10" xfId="0" applyFill="1" applyBorder="1"/>
    <xf numFmtId="0" fontId="0" fillId="5" borderId="8" xfId="0" applyFill="1" applyBorder="1"/>
    <xf numFmtId="0" fontId="0" fillId="5" borderId="11" xfId="0" applyFill="1" applyBorder="1"/>
    <xf numFmtId="0" fontId="1" fillId="0" borderId="0" xfId="1"/>
    <xf numFmtId="14" fontId="0" fillId="0" borderId="0" xfId="0" applyNumberForma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14" xfId="0" applyFill="1" applyBorder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8" borderId="12" xfId="0" applyFill="1" applyBorder="1"/>
    <xf numFmtId="0" fontId="0" fillId="8" borderId="13" xfId="0" applyFill="1" applyBorder="1"/>
    <xf numFmtId="0" fontId="0" fillId="8" borderId="14" xfId="0" applyFill="1" applyBorder="1"/>
    <xf numFmtId="0" fontId="0" fillId="0" borderId="15" xfId="0" applyBorder="1"/>
    <xf numFmtId="0" fontId="0" fillId="0" borderId="16" xfId="0" applyBorder="1"/>
    <xf numFmtId="0" fontId="3" fillId="0" borderId="0" xfId="0" applyFont="1"/>
    <xf numFmtId="0" fontId="0" fillId="9" borderId="6" xfId="0" applyFill="1" applyBorder="1"/>
    <xf numFmtId="0" fontId="0" fillId="9" borderId="8" xfId="0" applyFill="1" applyBorder="1"/>
    <xf numFmtId="0" fontId="0" fillId="9" borderId="11" xfId="0" applyFill="1" applyBorder="1"/>
    <xf numFmtId="0" fontId="0" fillId="9" borderId="17" xfId="0" applyFill="1" applyBorder="1"/>
    <xf numFmtId="0" fontId="0" fillId="0" borderId="18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2" borderId="15" xfId="0" applyFill="1" applyBorder="1"/>
    <xf numFmtId="0" fontId="0" fillId="2" borderId="18" xfId="0" applyFill="1" applyBorder="1"/>
    <xf numFmtId="0" fontId="0" fillId="2" borderId="16" xfId="0" applyFill="1" applyBorder="1"/>
    <xf numFmtId="0" fontId="0" fillId="0" borderId="0" xfId="0" applyBorder="1"/>
    <xf numFmtId="0" fontId="0" fillId="2" borderId="0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png"/><Relationship Id="rId13" Type="http://schemas.openxmlformats.org/officeDocument/2006/relationships/customXml" Target="../ink/ink8.xml"/><Relationship Id="rId18" Type="http://schemas.openxmlformats.org/officeDocument/2006/relationships/image" Target="../media/image12.png"/><Relationship Id="rId26" Type="http://schemas.openxmlformats.org/officeDocument/2006/relationships/image" Target="../media/image16.png"/><Relationship Id="rId3" Type="http://schemas.openxmlformats.org/officeDocument/2006/relationships/customXml" Target="../ink/ink3.xml"/><Relationship Id="rId21" Type="http://schemas.openxmlformats.org/officeDocument/2006/relationships/customXml" Target="../ink/ink12.xml"/><Relationship Id="rId7" Type="http://schemas.openxmlformats.org/officeDocument/2006/relationships/customXml" Target="../ink/ink5.xml"/><Relationship Id="rId12" Type="http://schemas.openxmlformats.org/officeDocument/2006/relationships/image" Target="../media/image9.png"/><Relationship Id="rId17" Type="http://schemas.openxmlformats.org/officeDocument/2006/relationships/customXml" Target="../ink/ink10.xml"/><Relationship Id="rId25" Type="http://schemas.openxmlformats.org/officeDocument/2006/relationships/customXml" Target="../ink/ink14.xml"/><Relationship Id="rId2" Type="http://schemas.openxmlformats.org/officeDocument/2006/relationships/image" Target="../media/image4.png"/><Relationship Id="rId16" Type="http://schemas.openxmlformats.org/officeDocument/2006/relationships/image" Target="../media/image11.png"/><Relationship Id="rId20" Type="http://schemas.openxmlformats.org/officeDocument/2006/relationships/image" Target="../media/image13.png"/><Relationship Id="rId29" Type="http://schemas.openxmlformats.org/officeDocument/2006/relationships/customXml" Target="../ink/ink16.xml"/><Relationship Id="rId1" Type="http://schemas.openxmlformats.org/officeDocument/2006/relationships/customXml" Target="../ink/ink2.xml"/><Relationship Id="rId6" Type="http://schemas.openxmlformats.org/officeDocument/2006/relationships/image" Target="../media/image6.png"/><Relationship Id="rId11" Type="http://schemas.openxmlformats.org/officeDocument/2006/relationships/customXml" Target="../ink/ink7.xml"/><Relationship Id="rId24" Type="http://schemas.openxmlformats.org/officeDocument/2006/relationships/image" Target="../media/image15.png"/><Relationship Id="rId32" Type="http://schemas.openxmlformats.org/officeDocument/2006/relationships/image" Target="../media/image19.png"/><Relationship Id="rId5" Type="http://schemas.openxmlformats.org/officeDocument/2006/relationships/customXml" Target="../ink/ink4.xml"/><Relationship Id="rId15" Type="http://schemas.openxmlformats.org/officeDocument/2006/relationships/customXml" Target="../ink/ink9.xml"/><Relationship Id="rId23" Type="http://schemas.openxmlformats.org/officeDocument/2006/relationships/customXml" Target="../ink/ink13.xml"/><Relationship Id="rId28" Type="http://schemas.openxmlformats.org/officeDocument/2006/relationships/image" Target="../media/image17.png"/><Relationship Id="rId10" Type="http://schemas.openxmlformats.org/officeDocument/2006/relationships/image" Target="../media/image8.png"/><Relationship Id="rId19" Type="http://schemas.openxmlformats.org/officeDocument/2006/relationships/customXml" Target="../ink/ink11.xml"/><Relationship Id="rId31" Type="http://schemas.openxmlformats.org/officeDocument/2006/relationships/customXml" Target="../ink/ink17.xml"/><Relationship Id="rId4" Type="http://schemas.openxmlformats.org/officeDocument/2006/relationships/image" Target="../media/image5.png"/><Relationship Id="rId9" Type="http://schemas.openxmlformats.org/officeDocument/2006/relationships/customXml" Target="../ink/ink6.xml"/><Relationship Id="rId14" Type="http://schemas.openxmlformats.org/officeDocument/2006/relationships/image" Target="../media/image10.png"/><Relationship Id="rId22" Type="http://schemas.openxmlformats.org/officeDocument/2006/relationships/image" Target="../media/image14.png"/><Relationship Id="rId27" Type="http://schemas.openxmlformats.org/officeDocument/2006/relationships/customXml" Target="../ink/ink15.xml"/><Relationship Id="rId30" Type="http://schemas.openxmlformats.org/officeDocument/2006/relationships/image" Target="../media/image18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7" Type="http://schemas.openxmlformats.org/officeDocument/2006/relationships/image" Target="../media/image24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customXml" Target="../ink/ink19.xml"/><Relationship Id="rId5" Type="http://schemas.openxmlformats.org/officeDocument/2006/relationships/image" Target="../media/image23.png"/><Relationship Id="rId4" Type="http://schemas.openxmlformats.org/officeDocument/2006/relationships/customXml" Target="../ink/ink1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ustomXml" Target="../ink/ink21.xml"/><Relationship Id="rId2" Type="http://schemas.openxmlformats.org/officeDocument/2006/relationships/image" Target="../media/image25.png"/><Relationship Id="rId1" Type="http://schemas.openxmlformats.org/officeDocument/2006/relationships/customXml" Target="../ink/ink20.xml"/><Relationship Id="rId6" Type="http://schemas.openxmlformats.org/officeDocument/2006/relationships/image" Target="../media/image27.png"/><Relationship Id="rId5" Type="http://schemas.openxmlformats.org/officeDocument/2006/relationships/customXml" Target="../ink/ink22.xml"/><Relationship Id="rId4" Type="http://schemas.openxmlformats.org/officeDocument/2006/relationships/image" Target="../media/image26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png"/><Relationship Id="rId3" Type="http://schemas.openxmlformats.org/officeDocument/2006/relationships/customXml" Target="../ink/ink24.xml"/><Relationship Id="rId7" Type="http://schemas.openxmlformats.org/officeDocument/2006/relationships/customXml" Target="../ink/ink26.xml"/><Relationship Id="rId2" Type="http://schemas.openxmlformats.org/officeDocument/2006/relationships/image" Target="../media/image28.png"/><Relationship Id="rId1" Type="http://schemas.openxmlformats.org/officeDocument/2006/relationships/customXml" Target="../ink/ink23.xml"/><Relationship Id="rId6" Type="http://schemas.openxmlformats.org/officeDocument/2006/relationships/image" Target="../media/image30.png"/><Relationship Id="rId5" Type="http://schemas.openxmlformats.org/officeDocument/2006/relationships/customXml" Target="../ink/ink25.xml"/><Relationship Id="rId10" Type="http://schemas.openxmlformats.org/officeDocument/2006/relationships/image" Target="../media/image32.png"/><Relationship Id="rId4" Type="http://schemas.openxmlformats.org/officeDocument/2006/relationships/image" Target="../media/image29.png"/><Relationship Id="rId9" Type="http://schemas.openxmlformats.org/officeDocument/2006/relationships/customXml" Target="../ink/ink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1</xdr:row>
      <xdr:rowOff>190500</xdr:rowOff>
    </xdr:from>
    <xdr:to>
      <xdr:col>13</xdr:col>
      <xdr:colOff>6350</xdr:colOff>
      <xdr:row>21</xdr:row>
      <xdr:rowOff>165100</xdr:rowOff>
    </xdr:to>
    <xdr:sp macro="" textlink="">
      <xdr:nvSpPr>
        <xdr:cNvPr id="2" name="Frame 1">
          <a:extLst>
            <a:ext uri="{FF2B5EF4-FFF2-40B4-BE49-F238E27FC236}">
              <a16:creationId xmlns:a16="http://schemas.microsoft.com/office/drawing/2014/main" id="{4F464DCE-76E5-84F8-AFD3-3359B7392D6B}"/>
            </a:ext>
          </a:extLst>
        </xdr:cNvPr>
        <xdr:cNvSpPr/>
      </xdr:nvSpPr>
      <xdr:spPr>
        <a:xfrm>
          <a:off x="838200" y="393700"/>
          <a:ext cx="9899650" cy="4038600"/>
        </a:xfrm>
        <a:prstGeom prst="frame">
          <a:avLst>
            <a:gd name="adj1" fmla="val 243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165100</xdr:colOff>
      <xdr:row>2</xdr:row>
      <xdr:rowOff>133350</xdr:rowOff>
    </xdr:from>
    <xdr:to>
      <xdr:col>10</xdr:col>
      <xdr:colOff>114300</xdr:colOff>
      <xdr:row>21</xdr:row>
      <xdr:rowOff>44450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8E37B57B-73CB-7641-85B8-0583ED51FBAA}"/>
            </a:ext>
          </a:extLst>
        </xdr:cNvPr>
        <xdr:cNvSpPr/>
      </xdr:nvSpPr>
      <xdr:spPr>
        <a:xfrm>
          <a:off x="990600" y="539750"/>
          <a:ext cx="7378700" cy="3771900"/>
        </a:xfrm>
        <a:prstGeom prst="frame">
          <a:avLst>
            <a:gd name="adj1" fmla="val 2437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177800</xdr:colOff>
      <xdr:row>2</xdr:row>
      <xdr:rowOff>127000</xdr:rowOff>
    </xdr:from>
    <xdr:to>
      <xdr:col>12</xdr:col>
      <xdr:colOff>666750</xdr:colOff>
      <xdr:row>21</xdr:row>
      <xdr:rowOff>38100</xdr:rowOff>
    </xdr:to>
    <xdr:sp macro="" textlink="">
      <xdr:nvSpPr>
        <xdr:cNvPr id="4" name="Frame 3">
          <a:extLst>
            <a:ext uri="{FF2B5EF4-FFF2-40B4-BE49-F238E27FC236}">
              <a16:creationId xmlns:a16="http://schemas.microsoft.com/office/drawing/2014/main" id="{CC4B6AA7-263F-554E-A8CD-2FB3DA5AFC1C}"/>
            </a:ext>
          </a:extLst>
        </xdr:cNvPr>
        <xdr:cNvSpPr/>
      </xdr:nvSpPr>
      <xdr:spPr>
        <a:xfrm>
          <a:off x="8432800" y="533400"/>
          <a:ext cx="2139950" cy="3771900"/>
        </a:xfrm>
        <a:prstGeom prst="frame">
          <a:avLst>
            <a:gd name="adj1" fmla="val 243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317500</xdr:colOff>
      <xdr:row>3</xdr:row>
      <xdr:rowOff>82550</xdr:rowOff>
    </xdr:from>
    <xdr:to>
      <xdr:col>3</xdr:col>
      <xdr:colOff>546100</xdr:colOff>
      <xdr:row>20</xdr:row>
      <xdr:rowOff>57150</xdr:rowOff>
    </xdr:to>
    <xdr:sp macro="" textlink="">
      <xdr:nvSpPr>
        <xdr:cNvPr id="5" name="Frame 4">
          <a:extLst>
            <a:ext uri="{FF2B5EF4-FFF2-40B4-BE49-F238E27FC236}">
              <a16:creationId xmlns:a16="http://schemas.microsoft.com/office/drawing/2014/main" id="{53248299-B650-1743-A544-A16693AEFFCA}"/>
            </a:ext>
          </a:extLst>
        </xdr:cNvPr>
        <xdr:cNvSpPr/>
      </xdr:nvSpPr>
      <xdr:spPr>
        <a:xfrm>
          <a:off x="1143000" y="692150"/>
          <a:ext cx="187960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673100</xdr:colOff>
      <xdr:row>3</xdr:row>
      <xdr:rowOff>82550</xdr:rowOff>
    </xdr:from>
    <xdr:to>
      <xdr:col>6</xdr:col>
      <xdr:colOff>76200</xdr:colOff>
      <xdr:row>20</xdr:row>
      <xdr:rowOff>57150</xdr:rowOff>
    </xdr:to>
    <xdr:sp macro="" textlink="">
      <xdr:nvSpPr>
        <xdr:cNvPr id="6" name="Frame 5">
          <a:extLst>
            <a:ext uri="{FF2B5EF4-FFF2-40B4-BE49-F238E27FC236}">
              <a16:creationId xmlns:a16="http://schemas.microsoft.com/office/drawing/2014/main" id="{C48FC806-1F09-5845-88C6-13F3F60B01FC}"/>
            </a:ext>
          </a:extLst>
        </xdr:cNvPr>
        <xdr:cNvSpPr/>
      </xdr:nvSpPr>
      <xdr:spPr>
        <a:xfrm>
          <a:off x="3149600" y="692150"/>
          <a:ext cx="187960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177800</xdr:colOff>
      <xdr:row>3</xdr:row>
      <xdr:rowOff>76200</xdr:rowOff>
    </xdr:from>
    <xdr:to>
      <xdr:col>8</xdr:col>
      <xdr:colOff>406400</xdr:colOff>
      <xdr:row>20</xdr:row>
      <xdr:rowOff>50800</xdr:rowOff>
    </xdr:to>
    <xdr:sp macro="" textlink="">
      <xdr:nvSpPr>
        <xdr:cNvPr id="7" name="Frame 6">
          <a:extLst>
            <a:ext uri="{FF2B5EF4-FFF2-40B4-BE49-F238E27FC236}">
              <a16:creationId xmlns:a16="http://schemas.microsoft.com/office/drawing/2014/main" id="{11E3E1AA-EFEA-D347-BFF5-1707F3674F7F}"/>
            </a:ext>
          </a:extLst>
        </xdr:cNvPr>
        <xdr:cNvSpPr/>
      </xdr:nvSpPr>
      <xdr:spPr>
        <a:xfrm>
          <a:off x="5130800" y="685800"/>
          <a:ext cx="187960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565150</xdr:colOff>
      <xdr:row>3</xdr:row>
      <xdr:rowOff>88900</xdr:rowOff>
    </xdr:from>
    <xdr:to>
      <xdr:col>9</xdr:col>
      <xdr:colOff>736600</xdr:colOff>
      <xdr:row>20</xdr:row>
      <xdr:rowOff>63500</xdr:rowOff>
    </xdr:to>
    <xdr:sp macro="" textlink="">
      <xdr:nvSpPr>
        <xdr:cNvPr id="8" name="Frame 7">
          <a:extLst>
            <a:ext uri="{FF2B5EF4-FFF2-40B4-BE49-F238E27FC236}">
              <a16:creationId xmlns:a16="http://schemas.microsoft.com/office/drawing/2014/main" id="{11830A05-5F04-8B42-97CC-B38CC4EA3A88}"/>
            </a:ext>
          </a:extLst>
        </xdr:cNvPr>
        <xdr:cNvSpPr/>
      </xdr:nvSpPr>
      <xdr:spPr>
        <a:xfrm>
          <a:off x="7169150" y="698500"/>
          <a:ext cx="996950" cy="3429000"/>
        </a:xfrm>
        <a:prstGeom prst="frame">
          <a:avLst>
            <a:gd name="adj1" fmla="val 2437"/>
          </a:avLst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482600</xdr:colOff>
      <xdr:row>4</xdr:row>
      <xdr:rowOff>50800</xdr:rowOff>
    </xdr:from>
    <xdr:to>
      <xdr:col>3</xdr:col>
      <xdr:colOff>336550</xdr:colOff>
      <xdr:row>8</xdr:row>
      <xdr:rowOff>76200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BF5151F6-E081-EF4C-86DA-259F1E85CE0B}"/>
            </a:ext>
          </a:extLst>
        </xdr:cNvPr>
        <xdr:cNvSpPr/>
      </xdr:nvSpPr>
      <xdr:spPr>
        <a:xfrm>
          <a:off x="1308100" y="86360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469900</xdr:colOff>
      <xdr:row>8</xdr:row>
      <xdr:rowOff>171450</xdr:rowOff>
    </xdr:from>
    <xdr:to>
      <xdr:col>3</xdr:col>
      <xdr:colOff>323850</xdr:colOff>
      <xdr:row>12</xdr:row>
      <xdr:rowOff>196850</xdr:rowOff>
    </xdr:to>
    <xdr:sp macro="" textlink="">
      <xdr:nvSpPr>
        <xdr:cNvPr id="10" name="Frame 9">
          <a:extLst>
            <a:ext uri="{FF2B5EF4-FFF2-40B4-BE49-F238E27FC236}">
              <a16:creationId xmlns:a16="http://schemas.microsoft.com/office/drawing/2014/main" id="{50FBDB1A-8673-A64C-88C8-F2C995E41445}"/>
            </a:ext>
          </a:extLst>
        </xdr:cNvPr>
        <xdr:cNvSpPr/>
      </xdr:nvSpPr>
      <xdr:spPr>
        <a:xfrm>
          <a:off x="1295400" y="17970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476250</xdr:colOff>
      <xdr:row>13</xdr:row>
      <xdr:rowOff>196850</xdr:rowOff>
    </xdr:from>
    <xdr:to>
      <xdr:col>3</xdr:col>
      <xdr:colOff>330200</xdr:colOff>
      <xdr:row>18</xdr:row>
      <xdr:rowOff>19050</xdr:rowOff>
    </xdr:to>
    <xdr:sp macro="" textlink="">
      <xdr:nvSpPr>
        <xdr:cNvPr id="11" name="Frame 10">
          <a:extLst>
            <a:ext uri="{FF2B5EF4-FFF2-40B4-BE49-F238E27FC236}">
              <a16:creationId xmlns:a16="http://schemas.microsoft.com/office/drawing/2014/main" id="{BDCCB365-A3B3-E747-849A-72DF7D839A7C}"/>
            </a:ext>
          </a:extLst>
        </xdr:cNvPr>
        <xdr:cNvSpPr/>
      </xdr:nvSpPr>
      <xdr:spPr>
        <a:xfrm>
          <a:off x="1301750" y="28384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25400</xdr:colOff>
      <xdr:row>4</xdr:row>
      <xdr:rowOff>139700</xdr:rowOff>
    </xdr:from>
    <xdr:to>
      <xdr:col>5</xdr:col>
      <xdr:colOff>704850</xdr:colOff>
      <xdr:row>8</xdr:row>
      <xdr:rowOff>165100</xdr:rowOff>
    </xdr:to>
    <xdr:sp macro="" textlink="">
      <xdr:nvSpPr>
        <xdr:cNvPr id="12" name="Frame 11">
          <a:extLst>
            <a:ext uri="{FF2B5EF4-FFF2-40B4-BE49-F238E27FC236}">
              <a16:creationId xmlns:a16="http://schemas.microsoft.com/office/drawing/2014/main" id="{6FECF2A6-8EFF-094B-87B3-1A97925E679D}"/>
            </a:ext>
          </a:extLst>
        </xdr:cNvPr>
        <xdr:cNvSpPr/>
      </xdr:nvSpPr>
      <xdr:spPr>
        <a:xfrm>
          <a:off x="3327400" y="95250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12700</xdr:colOff>
      <xdr:row>9</xdr:row>
      <xdr:rowOff>57150</xdr:rowOff>
    </xdr:from>
    <xdr:to>
      <xdr:col>5</xdr:col>
      <xdr:colOff>692150</xdr:colOff>
      <xdr:row>13</xdr:row>
      <xdr:rowOff>82550</xdr:rowOff>
    </xdr:to>
    <xdr:sp macro="" textlink="">
      <xdr:nvSpPr>
        <xdr:cNvPr id="13" name="Frame 12">
          <a:extLst>
            <a:ext uri="{FF2B5EF4-FFF2-40B4-BE49-F238E27FC236}">
              <a16:creationId xmlns:a16="http://schemas.microsoft.com/office/drawing/2014/main" id="{EFD50B21-BE76-3745-BEAB-C2EA6FB8D14C}"/>
            </a:ext>
          </a:extLst>
        </xdr:cNvPr>
        <xdr:cNvSpPr/>
      </xdr:nvSpPr>
      <xdr:spPr>
        <a:xfrm>
          <a:off x="3314700" y="18859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19050</xdr:colOff>
      <xdr:row>14</xdr:row>
      <xdr:rowOff>82550</xdr:rowOff>
    </xdr:from>
    <xdr:to>
      <xdr:col>5</xdr:col>
      <xdr:colOff>698500</xdr:colOff>
      <xdr:row>18</xdr:row>
      <xdr:rowOff>107950</xdr:rowOff>
    </xdr:to>
    <xdr:sp macro="" textlink="">
      <xdr:nvSpPr>
        <xdr:cNvPr id="14" name="Frame 13">
          <a:extLst>
            <a:ext uri="{FF2B5EF4-FFF2-40B4-BE49-F238E27FC236}">
              <a16:creationId xmlns:a16="http://schemas.microsoft.com/office/drawing/2014/main" id="{148309AE-EF57-3943-8C87-27D1F55666B7}"/>
            </a:ext>
          </a:extLst>
        </xdr:cNvPr>
        <xdr:cNvSpPr/>
      </xdr:nvSpPr>
      <xdr:spPr>
        <a:xfrm>
          <a:off x="3321050" y="29273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342900</xdr:colOff>
      <xdr:row>4</xdr:row>
      <xdr:rowOff>177800</xdr:rowOff>
    </xdr:from>
    <xdr:to>
      <xdr:col>8</xdr:col>
      <xdr:colOff>196850</xdr:colOff>
      <xdr:row>9</xdr:row>
      <xdr:rowOff>0</xdr:rowOff>
    </xdr:to>
    <xdr:sp macro="" textlink="">
      <xdr:nvSpPr>
        <xdr:cNvPr id="15" name="Frame 14">
          <a:extLst>
            <a:ext uri="{FF2B5EF4-FFF2-40B4-BE49-F238E27FC236}">
              <a16:creationId xmlns:a16="http://schemas.microsoft.com/office/drawing/2014/main" id="{5736F2DA-E5D3-9C43-B346-656862E63953}"/>
            </a:ext>
          </a:extLst>
        </xdr:cNvPr>
        <xdr:cNvSpPr/>
      </xdr:nvSpPr>
      <xdr:spPr>
        <a:xfrm>
          <a:off x="5295900" y="99060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330200</xdr:colOff>
      <xdr:row>9</xdr:row>
      <xdr:rowOff>95250</xdr:rowOff>
    </xdr:from>
    <xdr:to>
      <xdr:col>8</xdr:col>
      <xdr:colOff>184150</xdr:colOff>
      <xdr:row>13</xdr:row>
      <xdr:rowOff>120650</xdr:rowOff>
    </xdr:to>
    <xdr:sp macro="" textlink="">
      <xdr:nvSpPr>
        <xdr:cNvPr id="16" name="Frame 15">
          <a:extLst>
            <a:ext uri="{FF2B5EF4-FFF2-40B4-BE49-F238E27FC236}">
              <a16:creationId xmlns:a16="http://schemas.microsoft.com/office/drawing/2014/main" id="{44DB7AAE-2B60-4B46-BE7F-C25BD9C0102E}"/>
            </a:ext>
          </a:extLst>
        </xdr:cNvPr>
        <xdr:cNvSpPr/>
      </xdr:nvSpPr>
      <xdr:spPr>
        <a:xfrm>
          <a:off x="5283200" y="19240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336550</xdr:colOff>
      <xdr:row>14</xdr:row>
      <xdr:rowOff>120650</xdr:rowOff>
    </xdr:from>
    <xdr:to>
      <xdr:col>8</xdr:col>
      <xdr:colOff>190500</xdr:colOff>
      <xdr:row>18</xdr:row>
      <xdr:rowOff>146050</xdr:rowOff>
    </xdr:to>
    <xdr:sp macro="" textlink="">
      <xdr:nvSpPr>
        <xdr:cNvPr id="17" name="Frame 16">
          <a:extLst>
            <a:ext uri="{FF2B5EF4-FFF2-40B4-BE49-F238E27FC236}">
              <a16:creationId xmlns:a16="http://schemas.microsoft.com/office/drawing/2014/main" id="{0EC7831B-796A-0F47-BDCC-03CA6C8CCA80}"/>
            </a:ext>
          </a:extLst>
        </xdr:cNvPr>
        <xdr:cNvSpPr/>
      </xdr:nvSpPr>
      <xdr:spPr>
        <a:xfrm>
          <a:off x="5289550" y="2965450"/>
          <a:ext cx="150495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660400</xdr:colOff>
      <xdr:row>4</xdr:row>
      <xdr:rowOff>184150</xdr:rowOff>
    </xdr:from>
    <xdr:to>
      <xdr:col>9</xdr:col>
      <xdr:colOff>609600</xdr:colOff>
      <xdr:row>9</xdr:row>
      <xdr:rowOff>6350</xdr:rowOff>
    </xdr:to>
    <xdr:sp macro="" textlink="">
      <xdr:nvSpPr>
        <xdr:cNvPr id="18" name="Frame 17">
          <a:extLst>
            <a:ext uri="{FF2B5EF4-FFF2-40B4-BE49-F238E27FC236}">
              <a16:creationId xmlns:a16="http://schemas.microsoft.com/office/drawing/2014/main" id="{35A9E5EB-621E-8C4D-AD29-11F05816AD53}"/>
            </a:ext>
          </a:extLst>
        </xdr:cNvPr>
        <xdr:cNvSpPr/>
      </xdr:nvSpPr>
      <xdr:spPr>
        <a:xfrm>
          <a:off x="7264400" y="996950"/>
          <a:ext cx="77470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647700</xdr:colOff>
      <xdr:row>9</xdr:row>
      <xdr:rowOff>101600</xdr:rowOff>
    </xdr:from>
    <xdr:to>
      <xdr:col>9</xdr:col>
      <xdr:colOff>596900</xdr:colOff>
      <xdr:row>13</xdr:row>
      <xdr:rowOff>127000</xdr:rowOff>
    </xdr:to>
    <xdr:sp macro="" textlink="">
      <xdr:nvSpPr>
        <xdr:cNvPr id="19" name="Frame 18">
          <a:extLst>
            <a:ext uri="{FF2B5EF4-FFF2-40B4-BE49-F238E27FC236}">
              <a16:creationId xmlns:a16="http://schemas.microsoft.com/office/drawing/2014/main" id="{AA619770-14F6-A243-9530-95706FA4E409}"/>
            </a:ext>
          </a:extLst>
        </xdr:cNvPr>
        <xdr:cNvSpPr/>
      </xdr:nvSpPr>
      <xdr:spPr>
        <a:xfrm>
          <a:off x="7251700" y="1930400"/>
          <a:ext cx="77470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654050</xdr:colOff>
      <xdr:row>14</xdr:row>
      <xdr:rowOff>127000</xdr:rowOff>
    </xdr:from>
    <xdr:to>
      <xdr:col>9</xdr:col>
      <xdr:colOff>603250</xdr:colOff>
      <xdr:row>18</xdr:row>
      <xdr:rowOff>152400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4F4BAC76-CE21-BA47-A297-6A58A2553C4B}"/>
            </a:ext>
          </a:extLst>
        </xdr:cNvPr>
        <xdr:cNvSpPr/>
      </xdr:nvSpPr>
      <xdr:spPr>
        <a:xfrm>
          <a:off x="7258050" y="2971800"/>
          <a:ext cx="774700" cy="838200"/>
        </a:xfrm>
        <a:prstGeom prst="frame">
          <a:avLst>
            <a:gd name="adj1" fmla="val 12285"/>
          </a:avLst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428020</xdr:colOff>
      <xdr:row>43</xdr:row>
      <xdr:rowOff>146840</xdr:rowOff>
    </xdr:from>
    <xdr:to>
      <xdr:col>6</xdr:col>
      <xdr:colOff>202140</xdr:colOff>
      <xdr:row>47</xdr:row>
      <xdr:rowOff>114520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C0EB9ABD-D895-BA56-C8C9-ADE3F8F34863}"/>
                </a:ext>
              </a:extLst>
            </xdr14:cNvPr>
            <xdr14:cNvContentPartPr/>
          </xdr14:nvContentPartPr>
          <xdr14:nvPr macro=""/>
          <xdr14:xfrm>
            <a:off x="1253520" y="8884440"/>
            <a:ext cx="5006520" cy="78048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C0EB9ABD-D895-BA56-C8C9-ADE3F8F34863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49200" y="8880120"/>
              <a:ext cx="5015160" cy="7891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1441450</xdr:colOff>
      <xdr:row>25</xdr:row>
      <xdr:rowOff>209550</xdr:rowOff>
    </xdr:from>
    <xdr:to>
      <xdr:col>8</xdr:col>
      <xdr:colOff>0</xdr:colOff>
      <xdr:row>40</xdr:row>
      <xdr:rowOff>177800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E216E69-26CD-FD3B-1E57-896AD3ED4E1A}"/>
            </a:ext>
          </a:extLst>
        </xdr:cNvPr>
        <xdr:cNvSpPr/>
      </xdr:nvSpPr>
      <xdr:spPr>
        <a:xfrm>
          <a:off x="2266950" y="5289550"/>
          <a:ext cx="6038850" cy="30289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6350</xdr:rowOff>
    </xdr:from>
    <xdr:to>
      <xdr:col>7</xdr:col>
      <xdr:colOff>387350</xdr:colOff>
      <xdr:row>31</xdr:row>
      <xdr:rowOff>69850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F1C17BD9-A5AB-7BD8-E3F2-0AB426B35B5C}"/>
            </a:ext>
          </a:extLst>
        </xdr:cNvPr>
        <xdr:cNvSpPr/>
      </xdr:nvSpPr>
      <xdr:spPr>
        <a:xfrm>
          <a:off x="3175000" y="5505450"/>
          <a:ext cx="4692650" cy="876300"/>
        </a:xfrm>
        <a:prstGeom prst="frame">
          <a:avLst>
            <a:gd name="adj1" fmla="val 7713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57150</xdr:colOff>
      <xdr:row>31</xdr:row>
      <xdr:rowOff>101600</xdr:rowOff>
    </xdr:from>
    <xdr:to>
      <xdr:col>7</xdr:col>
      <xdr:colOff>368300</xdr:colOff>
      <xdr:row>35</xdr:row>
      <xdr:rowOff>165100</xdr:rowOff>
    </xdr:to>
    <xdr:sp macro="" textlink="">
      <xdr:nvSpPr>
        <xdr:cNvPr id="4" name="Frame 3">
          <a:extLst>
            <a:ext uri="{FF2B5EF4-FFF2-40B4-BE49-F238E27FC236}">
              <a16:creationId xmlns:a16="http://schemas.microsoft.com/office/drawing/2014/main" id="{A0D203B3-61F9-1244-8767-4CC451C39630}"/>
            </a:ext>
          </a:extLst>
        </xdr:cNvPr>
        <xdr:cNvSpPr/>
      </xdr:nvSpPr>
      <xdr:spPr>
        <a:xfrm>
          <a:off x="3155950" y="6413500"/>
          <a:ext cx="4692650" cy="876300"/>
        </a:xfrm>
        <a:prstGeom prst="frame">
          <a:avLst>
            <a:gd name="adj1" fmla="val 7713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44450</xdr:colOff>
      <xdr:row>36</xdr:row>
      <xdr:rowOff>19050</xdr:rowOff>
    </xdr:from>
    <xdr:to>
      <xdr:col>7</xdr:col>
      <xdr:colOff>355600</xdr:colOff>
      <xdr:row>40</xdr:row>
      <xdr:rowOff>82550</xdr:rowOff>
    </xdr:to>
    <xdr:sp macro="" textlink="">
      <xdr:nvSpPr>
        <xdr:cNvPr id="5" name="Frame 4">
          <a:extLst>
            <a:ext uri="{FF2B5EF4-FFF2-40B4-BE49-F238E27FC236}">
              <a16:creationId xmlns:a16="http://schemas.microsoft.com/office/drawing/2014/main" id="{BB3E12A4-982A-964E-B6DE-C85D0215FE20}"/>
            </a:ext>
          </a:extLst>
        </xdr:cNvPr>
        <xdr:cNvSpPr/>
      </xdr:nvSpPr>
      <xdr:spPr>
        <a:xfrm>
          <a:off x="3143250" y="7346950"/>
          <a:ext cx="4692650" cy="876300"/>
        </a:xfrm>
        <a:prstGeom prst="frame">
          <a:avLst>
            <a:gd name="adj1" fmla="val 7713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</xdr:col>
      <xdr:colOff>0</xdr:colOff>
      <xdr:row>73</xdr:row>
      <xdr:rowOff>0</xdr:rowOff>
    </xdr:from>
    <xdr:to>
      <xdr:col>6</xdr:col>
      <xdr:colOff>977900</xdr:colOff>
      <xdr:row>85</xdr:row>
      <xdr:rowOff>98912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3DC9EE4-D82D-A93C-ACBE-2CADC279A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14859000"/>
          <a:ext cx="7772400" cy="2537312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87</xdr:row>
      <xdr:rowOff>0</xdr:rowOff>
    </xdr:from>
    <xdr:to>
      <xdr:col>6</xdr:col>
      <xdr:colOff>977900</xdr:colOff>
      <xdr:row>96</xdr:row>
      <xdr:rowOff>96928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7BBD4C8-EBDB-5EB5-E3A7-C2B6B4C94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17703800"/>
          <a:ext cx="7772400" cy="192572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233020</xdr:colOff>
      <xdr:row>82</xdr:row>
      <xdr:rowOff>65640</xdr:rowOff>
    </xdr:from>
    <xdr:to>
      <xdr:col>2</xdr:col>
      <xdr:colOff>315460</xdr:colOff>
      <xdr:row>82</xdr:row>
      <xdr:rowOff>180120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326286DD-D99A-1CF8-C900-BA4F1717BA5B}"/>
                </a:ext>
              </a:extLst>
            </xdr14:cNvPr>
            <xdr14:cNvContentPartPr/>
          </xdr14:nvContentPartPr>
          <xdr14:nvPr macro=""/>
          <xdr14:xfrm>
            <a:off x="3877920" y="16829640"/>
            <a:ext cx="82440" cy="11448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326286DD-D99A-1CF8-C900-BA4F1717BA5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871827" y="16823520"/>
              <a:ext cx="94627" cy="12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222580</xdr:colOff>
      <xdr:row>83</xdr:row>
      <xdr:rowOff>86720</xdr:rowOff>
    </xdr:from>
    <xdr:to>
      <xdr:col>2</xdr:col>
      <xdr:colOff>296380</xdr:colOff>
      <xdr:row>83</xdr:row>
      <xdr:rowOff>189320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79EE2ADD-82FB-C959-4950-617F5DD56924}"/>
                </a:ext>
              </a:extLst>
            </xdr14:cNvPr>
            <xdr14:cNvContentPartPr/>
          </xdr14:nvContentPartPr>
          <xdr14:nvPr macro=""/>
          <xdr14:xfrm>
            <a:off x="3867480" y="17053920"/>
            <a:ext cx="73800" cy="10260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79EE2ADD-82FB-C959-4950-617F5DD56924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861360" y="17047800"/>
              <a:ext cx="86040" cy="114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197020</xdr:colOff>
      <xdr:row>82</xdr:row>
      <xdr:rowOff>102360</xdr:rowOff>
    </xdr:from>
    <xdr:to>
      <xdr:col>5</xdr:col>
      <xdr:colOff>38240</xdr:colOff>
      <xdr:row>84</xdr:row>
      <xdr:rowOff>199240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163F9E8C-A6C1-BFA2-2F73-340F9271ED76}"/>
                </a:ext>
              </a:extLst>
            </xdr14:cNvPr>
            <xdr14:cNvContentPartPr/>
          </xdr14:nvContentPartPr>
          <xdr14:nvPr macro=""/>
          <xdr14:xfrm>
            <a:off x="3841920" y="16866360"/>
            <a:ext cx="2495520" cy="50328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163F9E8C-A6C1-BFA2-2F73-340F9271ED7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3835800" y="16860240"/>
              <a:ext cx="2507760" cy="515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276220</xdr:colOff>
      <xdr:row>85</xdr:row>
      <xdr:rowOff>51480</xdr:rowOff>
    </xdr:from>
    <xdr:to>
      <xdr:col>2</xdr:col>
      <xdr:colOff>379180</xdr:colOff>
      <xdr:row>86</xdr:row>
      <xdr:rowOff>24680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66587578-650B-7089-F07B-571B589436CD}"/>
                </a:ext>
              </a:extLst>
            </xdr14:cNvPr>
            <xdr14:cNvContentPartPr/>
          </xdr14:nvContentPartPr>
          <xdr14:nvPr macro=""/>
          <xdr14:xfrm>
            <a:off x="3921120" y="17425080"/>
            <a:ext cx="102960" cy="17640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66587578-650B-7089-F07B-571B589436CD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915000" y="17418960"/>
              <a:ext cx="115200" cy="188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319060</xdr:colOff>
      <xdr:row>86</xdr:row>
      <xdr:rowOff>108200</xdr:rowOff>
    </xdr:from>
    <xdr:to>
      <xdr:col>2</xdr:col>
      <xdr:colOff>556300</xdr:colOff>
      <xdr:row>89</xdr:row>
      <xdr:rowOff>186920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E860428E-70E6-2EC0-4072-A807DB72FC2A}"/>
                </a:ext>
              </a:extLst>
            </xdr14:cNvPr>
            <xdr14:cNvContentPartPr/>
          </xdr14:nvContentPartPr>
          <xdr14:nvPr macro=""/>
          <xdr14:xfrm>
            <a:off x="3963960" y="17685000"/>
            <a:ext cx="237240" cy="68832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E860428E-70E6-2EC0-4072-A807DB72FC2A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957840" y="17678877"/>
              <a:ext cx="249480" cy="70056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328480</xdr:colOff>
      <xdr:row>82</xdr:row>
      <xdr:rowOff>59160</xdr:rowOff>
    </xdr:from>
    <xdr:to>
      <xdr:col>5</xdr:col>
      <xdr:colOff>523240</xdr:colOff>
      <xdr:row>83</xdr:row>
      <xdr:rowOff>18320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93C3B4A9-7272-10B8-DEFC-2B2B6A5597AA}"/>
                </a:ext>
              </a:extLst>
            </xdr14:cNvPr>
            <xdr14:cNvContentPartPr/>
          </xdr14:nvContentPartPr>
          <xdr14:nvPr macro=""/>
          <xdr14:xfrm>
            <a:off x="6754680" y="16823160"/>
            <a:ext cx="194760" cy="162360"/>
          </xdr14:xfrm>
        </xdr:contentPart>
      </mc:Choice>
      <mc:Fallback xmlns=""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93C3B4A9-7272-10B8-DEFC-2B2B6A5597AA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6748560" y="16817040"/>
              <a:ext cx="207000" cy="174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294640</xdr:colOff>
      <xdr:row>83</xdr:row>
      <xdr:rowOff>54320</xdr:rowOff>
    </xdr:from>
    <xdr:to>
      <xdr:col>5</xdr:col>
      <xdr:colOff>420280</xdr:colOff>
      <xdr:row>83</xdr:row>
      <xdr:rowOff>200840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5A500C53-9774-5BA6-A555-28F19A551019}"/>
                </a:ext>
              </a:extLst>
            </xdr14:cNvPr>
            <xdr14:cNvContentPartPr/>
          </xdr14:nvContentPartPr>
          <xdr14:nvPr macro=""/>
          <xdr14:xfrm>
            <a:off x="6720840" y="17021520"/>
            <a:ext cx="125640" cy="146520"/>
          </xdr14:xfrm>
        </xdr:contentPart>
      </mc:Choice>
      <mc:Fallback xmlns=""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5A500C53-9774-5BA6-A555-28F19A551019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6714720" y="17015400"/>
              <a:ext cx="137880" cy="158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178360</xdr:colOff>
      <xdr:row>84</xdr:row>
      <xdr:rowOff>84400</xdr:rowOff>
    </xdr:from>
    <xdr:to>
      <xdr:col>5</xdr:col>
      <xdr:colOff>455560</xdr:colOff>
      <xdr:row>89</xdr:row>
      <xdr:rowOff>77840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8EC46B66-B0D7-EEE1-E1DA-0DA3CB5E5EED}"/>
                </a:ext>
              </a:extLst>
            </xdr14:cNvPr>
            <xdr14:cNvContentPartPr/>
          </xdr14:nvContentPartPr>
          <xdr14:nvPr macro=""/>
          <xdr14:xfrm>
            <a:off x="6604560" y="17254800"/>
            <a:ext cx="277200" cy="1009440"/>
          </xdr14:xfrm>
        </xdr:contentPart>
      </mc:Choice>
      <mc:Fallback xmlns=""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8EC46B66-B0D7-EEE1-E1DA-0DA3CB5E5EED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6598432" y="17248678"/>
              <a:ext cx="289456" cy="102168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220740</xdr:colOff>
      <xdr:row>169</xdr:row>
      <xdr:rowOff>17480</xdr:rowOff>
    </xdr:from>
    <xdr:to>
      <xdr:col>10</xdr:col>
      <xdr:colOff>69100</xdr:colOff>
      <xdr:row>180</xdr:row>
      <xdr:rowOff>76920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E2F3521B-D268-C02B-7CDC-6E6BF5261BC1}"/>
                </a:ext>
              </a:extLst>
            </xdr14:cNvPr>
            <xdr14:cNvContentPartPr/>
          </xdr14:nvContentPartPr>
          <xdr14:nvPr macro=""/>
          <xdr14:xfrm>
            <a:off x="7345440" y="34510680"/>
            <a:ext cx="3150360" cy="2294640"/>
          </xdr14:xfrm>
        </xdr:contentPart>
      </mc:Choice>
      <mc:Fallback xmlns=""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E2F3521B-D268-C02B-7CDC-6E6BF5261BC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7341120" y="34506360"/>
              <a:ext cx="3158999" cy="2303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2237780</xdr:colOff>
      <xdr:row>241</xdr:row>
      <xdr:rowOff>57960</xdr:rowOff>
    </xdr:from>
    <xdr:to>
      <xdr:col>4</xdr:col>
      <xdr:colOff>326980</xdr:colOff>
      <xdr:row>252</xdr:row>
      <xdr:rowOff>64480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64" name="Ink 63">
              <a:extLst>
                <a:ext uri="{FF2B5EF4-FFF2-40B4-BE49-F238E27FC236}">
                  <a16:creationId xmlns:a16="http://schemas.microsoft.com/office/drawing/2014/main" id="{1715E3BC-1A48-C744-406A-81C2F286BED3}"/>
                </a:ext>
              </a:extLst>
            </xdr14:cNvPr>
            <xdr14:cNvContentPartPr/>
          </xdr14:nvContentPartPr>
          <xdr14:nvPr macro=""/>
          <xdr14:xfrm>
            <a:off x="2555280" y="49206960"/>
            <a:ext cx="3016800" cy="2241720"/>
          </xdr14:xfrm>
        </xdr:contentPart>
      </mc:Choice>
      <mc:Fallback xmlns=""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1715E3BC-1A48-C744-406A-81C2F286BED3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550960" y="49202640"/>
              <a:ext cx="3025440" cy="225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477440</xdr:colOff>
      <xdr:row>240</xdr:row>
      <xdr:rowOff>196000</xdr:rowOff>
    </xdr:from>
    <xdr:to>
      <xdr:col>8</xdr:col>
      <xdr:colOff>497540</xdr:colOff>
      <xdr:row>247</xdr:row>
      <xdr:rowOff>154560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9EC167A0-BFCB-56A4-CA57-31A3492D563F}"/>
                </a:ext>
              </a:extLst>
            </xdr14:cNvPr>
            <xdr14:cNvContentPartPr/>
          </xdr14:nvContentPartPr>
          <xdr14:nvPr macro=""/>
          <xdr14:xfrm>
            <a:off x="6776640" y="49141800"/>
            <a:ext cx="2496600" cy="1380960"/>
          </xdr14:xfrm>
        </xdr:contentPart>
      </mc:Choice>
      <mc:Fallback xmlns=""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9EC167A0-BFCB-56A4-CA57-31A3492D563F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6772320" y="49137480"/>
              <a:ext cx="2505240" cy="138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147660</xdr:colOff>
      <xdr:row>256</xdr:row>
      <xdr:rowOff>128640</xdr:rowOff>
    </xdr:from>
    <xdr:to>
      <xdr:col>6</xdr:col>
      <xdr:colOff>233700</xdr:colOff>
      <xdr:row>257</xdr:row>
      <xdr:rowOff>7160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82" name="Ink 81">
              <a:extLst>
                <a:ext uri="{FF2B5EF4-FFF2-40B4-BE49-F238E27FC236}">
                  <a16:creationId xmlns:a16="http://schemas.microsoft.com/office/drawing/2014/main" id="{73A7387A-2E25-3B7F-144A-EA1652E9C24E}"/>
                </a:ext>
              </a:extLst>
            </xdr14:cNvPr>
            <xdr14:cNvContentPartPr/>
          </xdr14:nvContentPartPr>
          <xdr14:nvPr macro=""/>
          <xdr14:xfrm>
            <a:off x="7272360" y="52325640"/>
            <a:ext cx="86040" cy="81720"/>
          </xdr14:xfrm>
        </xdr:contentPart>
      </mc:Choice>
      <mc:Fallback xmlns="">
        <xdr:pic>
          <xdr:nvPicPr>
            <xdr:cNvPr id="82" name="Ink 81">
              <a:extLst>
                <a:ext uri="{FF2B5EF4-FFF2-40B4-BE49-F238E27FC236}">
                  <a16:creationId xmlns:a16="http://schemas.microsoft.com/office/drawing/2014/main" id="{73A7387A-2E25-3B7F-144A-EA1652E9C24E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7268040" y="52321320"/>
              <a:ext cx="94680" cy="9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244500</xdr:colOff>
      <xdr:row>255</xdr:row>
      <xdr:rowOff>106480</xdr:rowOff>
    </xdr:from>
    <xdr:to>
      <xdr:col>7</xdr:col>
      <xdr:colOff>175360</xdr:colOff>
      <xdr:row>256</xdr:row>
      <xdr:rowOff>170760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E89327D3-941A-47B6-C677-657C81CE7327}"/>
                </a:ext>
              </a:extLst>
            </xdr14:cNvPr>
            <xdr14:cNvContentPartPr/>
          </xdr14:nvContentPartPr>
          <xdr14:nvPr macro=""/>
          <xdr14:xfrm>
            <a:off x="7369200" y="52100280"/>
            <a:ext cx="756360" cy="267480"/>
          </xdr14:xfrm>
        </xdr:contentPart>
      </mc:Choice>
      <mc:Fallback xmlns=""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E89327D3-941A-47B6-C677-657C81CE7327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7364880" y="52095960"/>
              <a:ext cx="765000" cy="27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196960</xdr:colOff>
      <xdr:row>253</xdr:row>
      <xdr:rowOff>42720</xdr:rowOff>
    </xdr:from>
    <xdr:to>
      <xdr:col>8</xdr:col>
      <xdr:colOff>57980</xdr:colOff>
      <xdr:row>255</xdr:row>
      <xdr:rowOff>187840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90" name="Ink 89">
              <a:extLst>
                <a:ext uri="{FF2B5EF4-FFF2-40B4-BE49-F238E27FC236}">
                  <a16:creationId xmlns:a16="http://schemas.microsoft.com/office/drawing/2014/main" id="{C9696F8D-86E8-5C02-E9C1-0A0D9427BF02}"/>
                </a:ext>
              </a:extLst>
            </xdr14:cNvPr>
            <xdr14:cNvContentPartPr/>
          </xdr14:nvContentPartPr>
          <xdr14:nvPr macro=""/>
          <xdr14:xfrm>
            <a:off x="8147160" y="51630120"/>
            <a:ext cx="686520" cy="551520"/>
          </xdr14:xfrm>
        </xdr:contentPart>
      </mc:Choice>
      <mc:Fallback xmlns="">
        <xdr:pic>
          <xdr:nvPicPr>
            <xdr:cNvPr id="90" name="Ink 89">
              <a:extLst>
                <a:ext uri="{FF2B5EF4-FFF2-40B4-BE49-F238E27FC236}">
                  <a16:creationId xmlns:a16="http://schemas.microsoft.com/office/drawing/2014/main" id="{C9696F8D-86E8-5C02-E9C1-0A0D9427BF02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8142840" y="51625800"/>
              <a:ext cx="695160" cy="56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905500</xdr:colOff>
      <xdr:row>252</xdr:row>
      <xdr:rowOff>109840</xdr:rowOff>
    </xdr:from>
    <xdr:to>
      <xdr:col>7</xdr:col>
      <xdr:colOff>158440</xdr:colOff>
      <xdr:row>260</xdr:row>
      <xdr:rowOff>173720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7" name="Ink 106">
              <a:extLst>
                <a:ext uri="{FF2B5EF4-FFF2-40B4-BE49-F238E27FC236}">
                  <a16:creationId xmlns:a16="http://schemas.microsoft.com/office/drawing/2014/main" id="{61681ABD-F18C-3014-229B-186CB69847FB}"/>
                </a:ext>
              </a:extLst>
            </xdr14:cNvPr>
            <xdr14:cNvContentPartPr/>
          </xdr14:nvContentPartPr>
          <xdr14:nvPr macro=""/>
          <xdr14:xfrm>
            <a:off x="6150600" y="51494040"/>
            <a:ext cx="1958040" cy="1689480"/>
          </xdr14:xfrm>
        </xdr:contentPart>
      </mc:Choice>
      <mc:Fallback xmlns="">
        <xdr:pic>
          <xdr:nvPicPr>
            <xdr:cNvPr id="107" name="Ink 106">
              <a:extLst>
                <a:ext uri="{FF2B5EF4-FFF2-40B4-BE49-F238E27FC236}">
                  <a16:creationId xmlns:a16="http://schemas.microsoft.com/office/drawing/2014/main" id="{61681ABD-F18C-3014-229B-186CB69847FB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6146280" y="51489719"/>
              <a:ext cx="1966680" cy="169812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206260</xdr:colOff>
      <xdr:row>249</xdr:row>
      <xdr:rowOff>199960</xdr:rowOff>
    </xdr:from>
    <xdr:to>
      <xdr:col>3</xdr:col>
      <xdr:colOff>208060</xdr:colOff>
      <xdr:row>249</xdr:row>
      <xdr:rowOff>201040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08" name="Ink 107">
              <a:extLst>
                <a:ext uri="{FF2B5EF4-FFF2-40B4-BE49-F238E27FC236}">
                  <a16:creationId xmlns:a16="http://schemas.microsoft.com/office/drawing/2014/main" id="{BD915424-6A15-F331-D2FD-A0D56AB67C3E}"/>
                </a:ext>
              </a:extLst>
            </xdr14:cNvPr>
            <xdr14:cNvContentPartPr/>
          </xdr14:nvContentPartPr>
          <xdr14:nvPr macro=""/>
          <xdr14:xfrm>
            <a:off x="4917960" y="50974560"/>
            <a:ext cx="1800" cy="1080"/>
          </xdr14:xfrm>
        </xdr:contentPart>
      </mc:Choice>
      <mc:Fallback xmlns="">
        <xdr:pic>
          <xdr:nvPicPr>
            <xdr:cNvPr id="108" name="Ink 107">
              <a:extLst>
                <a:ext uri="{FF2B5EF4-FFF2-40B4-BE49-F238E27FC236}">
                  <a16:creationId xmlns:a16="http://schemas.microsoft.com/office/drawing/2014/main" id="{BD915424-6A15-F331-D2FD-A0D56AB67C3E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913640" y="50970240"/>
              <a:ext cx="10440" cy="97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58</xdr:row>
      <xdr:rowOff>0</xdr:rowOff>
    </xdr:from>
    <xdr:to>
      <xdr:col>6</xdr:col>
      <xdr:colOff>749300</xdr:colOff>
      <xdr:row>75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21218-2E68-1582-70D1-36A7FC4038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11811000"/>
          <a:ext cx="4470400" cy="3454400"/>
        </a:xfrm>
        <a:prstGeom prst="rect">
          <a:avLst/>
        </a:prstGeom>
      </xdr:spPr>
    </xdr:pic>
    <xdr:clientData/>
  </xdr:twoCellAnchor>
  <xdr:twoCellAnchor>
    <xdr:from>
      <xdr:col>1</xdr:col>
      <xdr:colOff>6350</xdr:colOff>
      <xdr:row>58</xdr:row>
      <xdr:rowOff>25400</xdr:rowOff>
    </xdr:from>
    <xdr:to>
      <xdr:col>6</xdr:col>
      <xdr:colOff>742950</xdr:colOff>
      <xdr:row>75</xdr:row>
      <xdr:rowOff>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F89A0BF5-9809-AB95-85D6-CA1AB88FE3B3}"/>
            </a:ext>
          </a:extLst>
        </xdr:cNvPr>
        <xdr:cNvSpPr/>
      </xdr:nvSpPr>
      <xdr:spPr>
        <a:xfrm>
          <a:off x="831850" y="11836400"/>
          <a:ext cx="4457700" cy="3429000"/>
        </a:xfrm>
        <a:prstGeom prst="frame">
          <a:avLst>
            <a:gd name="adj1" fmla="val 25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101600</xdr:colOff>
      <xdr:row>67</xdr:row>
      <xdr:rowOff>6350</xdr:rowOff>
    </xdr:from>
    <xdr:to>
      <xdr:col>6</xdr:col>
      <xdr:colOff>400050</xdr:colOff>
      <xdr:row>73</xdr:row>
      <xdr:rowOff>95250</xdr:rowOff>
    </xdr:to>
    <xdr:sp macro="" textlink="">
      <xdr:nvSpPr>
        <xdr:cNvPr id="4" name="Frame 3">
          <a:extLst>
            <a:ext uri="{FF2B5EF4-FFF2-40B4-BE49-F238E27FC236}">
              <a16:creationId xmlns:a16="http://schemas.microsoft.com/office/drawing/2014/main" id="{7DC21503-BC3D-49D6-37DD-931B0C15D80D}"/>
            </a:ext>
          </a:extLst>
        </xdr:cNvPr>
        <xdr:cNvSpPr/>
      </xdr:nvSpPr>
      <xdr:spPr>
        <a:xfrm>
          <a:off x="1752600" y="13646150"/>
          <a:ext cx="3194050" cy="1308100"/>
        </a:xfrm>
        <a:prstGeom prst="frame">
          <a:avLst>
            <a:gd name="adj1" fmla="val 4089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</xdr:col>
      <xdr:colOff>0</xdr:colOff>
      <xdr:row>85</xdr:row>
      <xdr:rowOff>0</xdr:rowOff>
    </xdr:from>
    <xdr:to>
      <xdr:col>5</xdr:col>
      <xdr:colOff>488950</xdr:colOff>
      <xdr:row>108</xdr:row>
      <xdr:rowOff>20068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AB99289-A743-EC4F-6256-A208E1569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5500" y="17297400"/>
          <a:ext cx="3384550" cy="4693668"/>
        </a:xfrm>
        <a:prstGeom prst="rect">
          <a:avLst/>
        </a:prstGeom>
      </xdr:spPr>
    </xdr:pic>
    <xdr:clientData/>
  </xdr:twoCellAnchor>
  <xdr:twoCellAnchor editAs="oneCell">
    <xdr:from>
      <xdr:col>1</xdr:col>
      <xdr:colOff>12700</xdr:colOff>
      <xdr:row>131</xdr:row>
      <xdr:rowOff>152400</xdr:rowOff>
    </xdr:from>
    <xdr:to>
      <xdr:col>14</xdr:col>
      <xdr:colOff>539750</xdr:colOff>
      <xdr:row>148</xdr:row>
      <xdr:rowOff>171450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B13E833-3110-1F37-938A-08B638726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" y="26797000"/>
          <a:ext cx="10852150" cy="3473450"/>
        </a:xfrm>
        <a:prstGeom prst="rect">
          <a:avLst/>
        </a:prstGeom>
      </xdr:spPr>
    </xdr:pic>
    <xdr:clientData/>
  </xdr:twoCellAnchor>
  <xdr:twoCellAnchor>
    <xdr:from>
      <xdr:col>0</xdr:col>
      <xdr:colOff>749300</xdr:colOff>
      <xdr:row>84</xdr:row>
      <xdr:rowOff>120650</xdr:rowOff>
    </xdr:from>
    <xdr:to>
      <xdr:col>5</xdr:col>
      <xdr:colOff>577850</xdr:colOff>
      <xdr:row>108</xdr:row>
      <xdr:rowOff>107950</xdr:rowOff>
    </xdr:to>
    <xdr:sp macro="" textlink="">
      <xdr:nvSpPr>
        <xdr:cNvPr id="7" name="Frame 6">
          <a:extLst>
            <a:ext uri="{FF2B5EF4-FFF2-40B4-BE49-F238E27FC236}">
              <a16:creationId xmlns:a16="http://schemas.microsoft.com/office/drawing/2014/main" id="{A001E8AD-75A5-38C8-0131-4CA17AB9A767}"/>
            </a:ext>
          </a:extLst>
        </xdr:cNvPr>
        <xdr:cNvSpPr/>
      </xdr:nvSpPr>
      <xdr:spPr>
        <a:xfrm>
          <a:off x="749300" y="17214850"/>
          <a:ext cx="3549650" cy="4864100"/>
        </a:xfrm>
        <a:prstGeom prst="frame">
          <a:avLst>
            <a:gd name="adj1" fmla="val 22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317500</xdr:colOff>
      <xdr:row>87</xdr:row>
      <xdr:rowOff>165100</xdr:rowOff>
    </xdr:from>
    <xdr:to>
      <xdr:col>5</xdr:col>
      <xdr:colOff>292100</xdr:colOff>
      <xdr:row>93</xdr:row>
      <xdr:rowOff>146050</xdr:rowOff>
    </xdr:to>
    <xdr:sp macro="" textlink="">
      <xdr:nvSpPr>
        <xdr:cNvPr id="8" name="Frame 7">
          <a:extLst>
            <a:ext uri="{FF2B5EF4-FFF2-40B4-BE49-F238E27FC236}">
              <a16:creationId xmlns:a16="http://schemas.microsoft.com/office/drawing/2014/main" id="{0ABC95ED-546F-C027-15A5-74A7E42EF86A}"/>
            </a:ext>
          </a:extLst>
        </xdr:cNvPr>
        <xdr:cNvSpPr/>
      </xdr:nvSpPr>
      <xdr:spPr>
        <a:xfrm>
          <a:off x="1143000" y="17868900"/>
          <a:ext cx="2870200" cy="12001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298450</xdr:colOff>
      <xdr:row>93</xdr:row>
      <xdr:rowOff>158750</xdr:rowOff>
    </xdr:from>
    <xdr:to>
      <xdr:col>5</xdr:col>
      <xdr:colOff>273050</xdr:colOff>
      <xdr:row>99</xdr:row>
      <xdr:rowOff>31750</xdr:rowOff>
    </xdr:to>
    <xdr:sp macro="" textlink="">
      <xdr:nvSpPr>
        <xdr:cNvPr id="9" name="Frame 8">
          <a:extLst>
            <a:ext uri="{FF2B5EF4-FFF2-40B4-BE49-F238E27FC236}">
              <a16:creationId xmlns:a16="http://schemas.microsoft.com/office/drawing/2014/main" id="{08C3EB24-AEBD-3945-A846-ACABEF145480}"/>
            </a:ext>
          </a:extLst>
        </xdr:cNvPr>
        <xdr:cNvSpPr/>
      </xdr:nvSpPr>
      <xdr:spPr>
        <a:xfrm>
          <a:off x="1123950" y="19081750"/>
          <a:ext cx="2870200" cy="109220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209550</xdr:colOff>
      <xdr:row>102</xdr:row>
      <xdr:rowOff>127000</xdr:rowOff>
    </xdr:from>
    <xdr:to>
      <xdr:col>5</xdr:col>
      <xdr:colOff>184150</xdr:colOff>
      <xdr:row>107</xdr:row>
      <xdr:rowOff>133350</xdr:rowOff>
    </xdr:to>
    <xdr:sp macro="" textlink="">
      <xdr:nvSpPr>
        <xdr:cNvPr id="10" name="Frame 9">
          <a:extLst>
            <a:ext uri="{FF2B5EF4-FFF2-40B4-BE49-F238E27FC236}">
              <a16:creationId xmlns:a16="http://schemas.microsoft.com/office/drawing/2014/main" id="{FA76C9EE-5E51-014E-A898-54B756A298AF}"/>
            </a:ext>
          </a:extLst>
        </xdr:cNvPr>
        <xdr:cNvSpPr/>
      </xdr:nvSpPr>
      <xdr:spPr>
        <a:xfrm>
          <a:off x="1035050" y="20878800"/>
          <a:ext cx="2870200" cy="10223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463550</xdr:colOff>
      <xdr:row>96</xdr:row>
      <xdr:rowOff>88900</xdr:rowOff>
    </xdr:from>
    <xdr:to>
      <xdr:col>11</xdr:col>
      <xdr:colOff>711200</xdr:colOff>
      <xdr:row>108</xdr:row>
      <xdr:rowOff>50800</xdr:rowOff>
    </xdr:to>
    <xdr:sp macro="" textlink="">
      <xdr:nvSpPr>
        <xdr:cNvPr id="11" name="Frame 10">
          <a:extLst>
            <a:ext uri="{FF2B5EF4-FFF2-40B4-BE49-F238E27FC236}">
              <a16:creationId xmlns:a16="http://schemas.microsoft.com/office/drawing/2014/main" id="{6F8DF95D-5776-AD42-A5F9-B888AFD47813}"/>
            </a:ext>
          </a:extLst>
        </xdr:cNvPr>
        <xdr:cNvSpPr/>
      </xdr:nvSpPr>
      <xdr:spPr>
        <a:xfrm>
          <a:off x="5835650" y="19621500"/>
          <a:ext cx="3549650" cy="2400300"/>
        </a:xfrm>
        <a:prstGeom prst="frame">
          <a:avLst>
            <a:gd name="adj1" fmla="val 22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495300</xdr:colOff>
      <xdr:row>86</xdr:row>
      <xdr:rowOff>63500</xdr:rowOff>
    </xdr:from>
    <xdr:to>
      <xdr:col>11</xdr:col>
      <xdr:colOff>800100</xdr:colOff>
      <xdr:row>89</xdr:row>
      <xdr:rowOff>50800</xdr:rowOff>
    </xdr:to>
    <xdr:sp macro="" textlink="">
      <xdr:nvSpPr>
        <xdr:cNvPr id="12" name="Frame 11">
          <a:extLst>
            <a:ext uri="{FF2B5EF4-FFF2-40B4-BE49-F238E27FC236}">
              <a16:creationId xmlns:a16="http://schemas.microsoft.com/office/drawing/2014/main" id="{B3475248-E913-8A4E-9196-34E2CFE85465}"/>
            </a:ext>
          </a:extLst>
        </xdr:cNvPr>
        <xdr:cNvSpPr/>
      </xdr:nvSpPr>
      <xdr:spPr>
        <a:xfrm>
          <a:off x="5867400" y="17564100"/>
          <a:ext cx="3606800" cy="59690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6350</xdr:colOff>
      <xdr:row>131</xdr:row>
      <xdr:rowOff>133350</xdr:rowOff>
    </xdr:from>
    <xdr:to>
      <xdr:col>14</xdr:col>
      <xdr:colOff>590550</xdr:colOff>
      <xdr:row>148</xdr:row>
      <xdr:rowOff>177800</xdr:rowOff>
    </xdr:to>
    <xdr:sp macro="" textlink="">
      <xdr:nvSpPr>
        <xdr:cNvPr id="13" name="Frame 12">
          <a:extLst>
            <a:ext uri="{FF2B5EF4-FFF2-40B4-BE49-F238E27FC236}">
              <a16:creationId xmlns:a16="http://schemas.microsoft.com/office/drawing/2014/main" id="{420BE081-A669-9740-BBD9-5C2E65140B42}"/>
            </a:ext>
          </a:extLst>
        </xdr:cNvPr>
        <xdr:cNvSpPr/>
      </xdr:nvSpPr>
      <xdr:spPr>
        <a:xfrm>
          <a:off x="831850" y="26777950"/>
          <a:ext cx="10909300" cy="3498850"/>
        </a:xfrm>
        <a:prstGeom prst="frame">
          <a:avLst>
            <a:gd name="adj1" fmla="val 22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279400</xdr:colOff>
      <xdr:row>137</xdr:row>
      <xdr:rowOff>95250</xdr:rowOff>
    </xdr:from>
    <xdr:to>
      <xdr:col>14</xdr:col>
      <xdr:colOff>425450</xdr:colOff>
      <xdr:row>139</xdr:row>
      <xdr:rowOff>50800</xdr:rowOff>
    </xdr:to>
    <xdr:sp macro="" textlink="">
      <xdr:nvSpPr>
        <xdr:cNvPr id="14" name="Frame 13">
          <a:extLst>
            <a:ext uri="{FF2B5EF4-FFF2-40B4-BE49-F238E27FC236}">
              <a16:creationId xmlns:a16="http://schemas.microsoft.com/office/drawing/2014/main" id="{17CC9CE1-65F5-E144-A7BF-305E3F8A21E2}"/>
            </a:ext>
          </a:extLst>
        </xdr:cNvPr>
        <xdr:cNvSpPr/>
      </xdr:nvSpPr>
      <xdr:spPr>
        <a:xfrm>
          <a:off x="1104900" y="27959050"/>
          <a:ext cx="10471150" cy="3619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292100</xdr:colOff>
      <xdr:row>139</xdr:row>
      <xdr:rowOff>38100</xdr:rowOff>
    </xdr:from>
    <xdr:to>
      <xdr:col>14</xdr:col>
      <xdr:colOff>438150</xdr:colOff>
      <xdr:row>140</xdr:row>
      <xdr:rowOff>107950</xdr:rowOff>
    </xdr:to>
    <xdr:sp macro="" textlink="">
      <xdr:nvSpPr>
        <xdr:cNvPr id="15" name="Frame 14">
          <a:extLst>
            <a:ext uri="{FF2B5EF4-FFF2-40B4-BE49-F238E27FC236}">
              <a16:creationId xmlns:a16="http://schemas.microsoft.com/office/drawing/2014/main" id="{821F2665-FC1D-F44E-BB7C-180C8C9D53BC}"/>
            </a:ext>
          </a:extLst>
        </xdr:cNvPr>
        <xdr:cNvSpPr/>
      </xdr:nvSpPr>
      <xdr:spPr>
        <a:xfrm>
          <a:off x="1117600" y="28308300"/>
          <a:ext cx="10471150" cy="2730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298450</xdr:colOff>
      <xdr:row>140</xdr:row>
      <xdr:rowOff>120650</xdr:rowOff>
    </xdr:from>
    <xdr:to>
      <xdr:col>13</xdr:col>
      <xdr:colOff>114300</xdr:colOff>
      <xdr:row>141</xdr:row>
      <xdr:rowOff>190500</xdr:rowOff>
    </xdr:to>
    <xdr:sp macro="" textlink="">
      <xdr:nvSpPr>
        <xdr:cNvPr id="16" name="Frame 15">
          <a:extLst>
            <a:ext uri="{FF2B5EF4-FFF2-40B4-BE49-F238E27FC236}">
              <a16:creationId xmlns:a16="http://schemas.microsoft.com/office/drawing/2014/main" id="{CA0951BD-B27A-D74F-80F0-5FD917A828C6}"/>
            </a:ext>
          </a:extLst>
        </xdr:cNvPr>
        <xdr:cNvSpPr/>
      </xdr:nvSpPr>
      <xdr:spPr>
        <a:xfrm>
          <a:off x="1123950" y="28594050"/>
          <a:ext cx="9315450" cy="2730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298450</xdr:colOff>
      <xdr:row>142</xdr:row>
      <xdr:rowOff>0</xdr:rowOff>
    </xdr:from>
    <xdr:to>
      <xdr:col>12</xdr:col>
      <xdr:colOff>273050</xdr:colOff>
      <xdr:row>143</xdr:row>
      <xdr:rowOff>69850</xdr:rowOff>
    </xdr:to>
    <xdr:sp macro="" textlink="">
      <xdr:nvSpPr>
        <xdr:cNvPr id="17" name="Frame 16">
          <a:extLst>
            <a:ext uri="{FF2B5EF4-FFF2-40B4-BE49-F238E27FC236}">
              <a16:creationId xmlns:a16="http://schemas.microsoft.com/office/drawing/2014/main" id="{3D6B9C84-53CF-1540-BFEB-6B03CE57A15F}"/>
            </a:ext>
          </a:extLst>
        </xdr:cNvPr>
        <xdr:cNvSpPr/>
      </xdr:nvSpPr>
      <xdr:spPr>
        <a:xfrm>
          <a:off x="1123950" y="28879800"/>
          <a:ext cx="8648700" cy="2730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6350</xdr:colOff>
      <xdr:row>156</xdr:row>
      <xdr:rowOff>196850</xdr:rowOff>
    </xdr:from>
    <xdr:to>
      <xdr:col>9</xdr:col>
      <xdr:colOff>698500</xdr:colOff>
      <xdr:row>163</xdr:row>
      <xdr:rowOff>184150</xdr:rowOff>
    </xdr:to>
    <xdr:sp macro="" textlink="">
      <xdr:nvSpPr>
        <xdr:cNvPr id="18" name="Frame 17">
          <a:extLst>
            <a:ext uri="{FF2B5EF4-FFF2-40B4-BE49-F238E27FC236}">
              <a16:creationId xmlns:a16="http://schemas.microsoft.com/office/drawing/2014/main" id="{8CEB4506-7461-184A-9DAC-2C52285DCDBD}"/>
            </a:ext>
          </a:extLst>
        </xdr:cNvPr>
        <xdr:cNvSpPr/>
      </xdr:nvSpPr>
      <xdr:spPr>
        <a:xfrm>
          <a:off x="831850" y="31921450"/>
          <a:ext cx="6889750" cy="1409700"/>
        </a:xfrm>
        <a:prstGeom prst="frame">
          <a:avLst>
            <a:gd name="adj1" fmla="val 5362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19050</xdr:colOff>
      <xdr:row>151</xdr:row>
      <xdr:rowOff>50800</xdr:rowOff>
    </xdr:from>
    <xdr:to>
      <xdr:col>9</xdr:col>
      <xdr:colOff>812800</xdr:colOff>
      <xdr:row>153</xdr:row>
      <xdr:rowOff>6350</xdr:rowOff>
    </xdr:to>
    <xdr:sp macro="" textlink="">
      <xdr:nvSpPr>
        <xdr:cNvPr id="19" name="Frame 18">
          <a:extLst>
            <a:ext uri="{FF2B5EF4-FFF2-40B4-BE49-F238E27FC236}">
              <a16:creationId xmlns:a16="http://schemas.microsoft.com/office/drawing/2014/main" id="{39B82198-A432-EB46-BC1B-69883BD9DD3F}"/>
            </a:ext>
          </a:extLst>
        </xdr:cNvPr>
        <xdr:cNvSpPr/>
      </xdr:nvSpPr>
      <xdr:spPr>
        <a:xfrm>
          <a:off x="844550" y="30759400"/>
          <a:ext cx="6991350" cy="3619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31750</xdr:colOff>
      <xdr:row>153</xdr:row>
      <xdr:rowOff>38100</xdr:rowOff>
    </xdr:from>
    <xdr:to>
      <xdr:col>10</xdr:col>
      <xdr:colOff>0</xdr:colOff>
      <xdr:row>154</xdr:row>
      <xdr:rowOff>196850</xdr:rowOff>
    </xdr:to>
    <xdr:sp macro="" textlink="">
      <xdr:nvSpPr>
        <xdr:cNvPr id="20" name="Frame 19">
          <a:extLst>
            <a:ext uri="{FF2B5EF4-FFF2-40B4-BE49-F238E27FC236}">
              <a16:creationId xmlns:a16="http://schemas.microsoft.com/office/drawing/2014/main" id="{F466FD04-2213-2444-89E8-B1FA3DAA714B}"/>
            </a:ext>
          </a:extLst>
        </xdr:cNvPr>
        <xdr:cNvSpPr/>
      </xdr:nvSpPr>
      <xdr:spPr>
        <a:xfrm>
          <a:off x="857250" y="31153100"/>
          <a:ext cx="6991350" cy="36195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516240</xdr:colOff>
      <xdr:row>152</xdr:row>
      <xdr:rowOff>35600</xdr:rowOff>
    </xdr:from>
    <xdr:to>
      <xdr:col>1</xdr:col>
      <xdr:colOff>101140</xdr:colOff>
      <xdr:row>159</xdr:row>
      <xdr:rowOff>62920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08ECDE31-4F61-0733-3256-6260F434AF82}"/>
                </a:ext>
              </a:extLst>
            </xdr14:cNvPr>
            <xdr14:cNvContentPartPr/>
          </xdr14:nvContentPartPr>
          <xdr14:nvPr macro=""/>
          <xdr14:xfrm>
            <a:off x="516240" y="30947400"/>
            <a:ext cx="410400" cy="1449720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08ECDE31-4F61-0733-3256-6260F434AF82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511924" y="30943080"/>
              <a:ext cx="419032" cy="1458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307920</xdr:colOff>
      <xdr:row>152</xdr:row>
      <xdr:rowOff>25520</xdr:rowOff>
    </xdr:from>
    <xdr:to>
      <xdr:col>10</xdr:col>
      <xdr:colOff>500880</xdr:colOff>
      <xdr:row>155</xdr:row>
      <xdr:rowOff>37280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3D63CA7E-D847-0FEC-A5C3-46D2B69051B9}"/>
                </a:ext>
              </a:extLst>
            </xdr14:cNvPr>
            <xdr14:cNvContentPartPr/>
          </xdr14:nvContentPartPr>
          <xdr14:nvPr macro=""/>
          <xdr14:xfrm>
            <a:off x="8156520" y="30937320"/>
            <a:ext cx="192960" cy="62136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3D63CA7E-D847-0FEC-A5C3-46D2B69051B9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8152200" y="30933000"/>
              <a:ext cx="201600" cy="6300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</xdr:col>
      <xdr:colOff>495300</xdr:colOff>
      <xdr:row>89</xdr:row>
      <xdr:rowOff>95250</xdr:rowOff>
    </xdr:from>
    <xdr:to>
      <xdr:col>11</xdr:col>
      <xdr:colOff>800100</xdr:colOff>
      <xdr:row>92</xdr:row>
      <xdr:rowOff>82550</xdr:rowOff>
    </xdr:to>
    <xdr:sp macro="" textlink="">
      <xdr:nvSpPr>
        <xdr:cNvPr id="27" name="Frame 26">
          <a:extLst>
            <a:ext uri="{FF2B5EF4-FFF2-40B4-BE49-F238E27FC236}">
              <a16:creationId xmlns:a16="http://schemas.microsoft.com/office/drawing/2014/main" id="{52400A47-9210-5643-A200-8CAE978E69E1}"/>
            </a:ext>
          </a:extLst>
        </xdr:cNvPr>
        <xdr:cNvSpPr/>
      </xdr:nvSpPr>
      <xdr:spPr>
        <a:xfrm>
          <a:off x="5867400" y="18205450"/>
          <a:ext cx="3606800" cy="59690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7</xdr:col>
      <xdr:colOff>488950</xdr:colOff>
      <xdr:row>92</xdr:row>
      <xdr:rowOff>88900</xdr:rowOff>
    </xdr:from>
    <xdr:to>
      <xdr:col>11</xdr:col>
      <xdr:colOff>793750</xdr:colOff>
      <xdr:row>95</xdr:row>
      <xdr:rowOff>76200</xdr:rowOff>
    </xdr:to>
    <xdr:sp macro="" textlink="">
      <xdr:nvSpPr>
        <xdr:cNvPr id="28" name="Frame 27">
          <a:extLst>
            <a:ext uri="{FF2B5EF4-FFF2-40B4-BE49-F238E27FC236}">
              <a16:creationId xmlns:a16="http://schemas.microsoft.com/office/drawing/2014/main" id="{E78CC9DD-5387-2042-AB76-2CE6F9FDCAA1}"/>
            </a:ext>
          </a:extLst>
        </xdr:cNvPr>
        <xdr:cNvSpPr/>
      </xdr:nvSpPr>
      <xdr:spPr>
        <a:xfrm>
          <a:off x="5861050" y="18808700"/>
          <a:ext cx="3606800" cy="596900"/>
        </a:xfrm>
        <a:prstGeom prst="frame">
          <a:avLst>
            <a:gd name="adj1" fmla="val 434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812800</xdr:colOff>
      <xdr:row>14</xdr:row>
      <xdr:rowOff>0</xdr:rowOff>
    </xdr:from>
    <xdr:to>
      <xdr:col>6</xdr:col>
      <xdr:colOff>819150</xdr:colOff>
      <xdr:row>24</xdr:row>
      <xdr:rowOff>0</xdr:rowOff>
    </xdr:to>
    <xdr:sp macro="" textlink="">
      <xdr:nvSpPr>
        <xdr:cNvPr id="2" name="Frame 1">
          <a:extLst>
            <a:ext uri="{FF2B5EF4-FFF2-40B4-BE49-F238E27FC236}">
              <a16:creationId xmlns:a16="http://schemas.microsoft.com/office/drawing/2014/main" id="{62A5C025-56D6-D198-CFF9-9FEFC663210A}"/>
            </a:ext>
          </a:extLst>
        </xdr:cNvPr>
        <xdr:cNvSpPr/>
      </xdr:nvSpPr>
      <xdr:spPr>
        <a:xfrm>
          <a:off x="812800" y="2870200"/>
          <a:ext cx="4959350" cy="2032000"/>
        </a:xfrm>
        <a:prstGeom prst="frame">
          <a:avLst>
            <a:gd name="adj1" fmla="val 218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495300</xdr:colOff>
      <xdr:row>17</xdr:row>
      <xdr:rowOff>50800</xdr:rowOff>
    </xdr:from>
    <xdr:to>
      <xdr:col>6</xdr:col>
      <xdr:colOff>400050</xdr:colOff>
      <xdr:row>23</xdr:row>
      <xdr:rowOff>44450</xdr:rowOff>
    </xdr:to>
    <xdr:sp macro="" textlink="">
      <xdr:nvSpPr>
        <xdr:cNvPr id="3" name="Frame 2">
          <a:extLst>
            <a:ext uri="{FF2B5EF4-FFF2-40B4-BE49-F238E27FC236}">
              <a16:creationId xmlns:a16="http://schemas.microsoft.com/office/drawing/2014/main" id="{9FB9EBF0-AD02-554B-9E96-B54A36575AD4}"/>
            </a:ext>
          </a:extLst>
        </xdr:cNvPr>
        <xdr:cNvSpPr/>
      </xdr:nvSpPr>
      <xdr:spPr>
        <a:xfrm>
          <a:off x="2146300" y="3530600"/>
          <a:ext cx="3206750" cy="1212850"/>
        </a:xfrm>
        <a:prstGeom prst="frame">
          <a:avLst>
            <a:gd name="adj1" fmla="val 2188"/>
          </a:avLst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3</xdr:col>
      <xdr:colOff>737220</xdr:colOff>
      <xdr:row>14</xdr:row>
      <xdr:rowOff>191960</xdr:rowOff>
    </xdr:from>
    <xdr:to>
      <xdr:col>4</xdr:col>
      <xdr:colOff>538120</xdr:colOff>
      <xdr:row>18</xdr:row>
      <xdr:rowOff>102760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82BD04EF-2DFA-A96E-2729-739D6E9A6134}"/>
                </a:ext>
              </a:extLst>
            </xdr14:cNvPr>
            <xdr14:cNvContentPartPr/>
          </xdr14:nvContentPartPr>
          <xdr14:nvPr macro=""/>
          <xdr14:xfrm>
            <a:off x="3213720" y="3062160"/>
            <a:ext cx="626400" cy="7236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82BD04EF-2DFA-A96E-2729-739D6E9A613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207604" y="3056040"/>
              <a:ext cx="638633" cy="73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158640</xdr:colOff>
      <xdr:row>23</xdr:row>
      <xdr:rowOff>82520</xdr:rowOff>
    </xdr:from>
    <xdr:to>
      <xdr:col>10</xdr:col>
      <xdr:colOff>626640</xdr:colOff>
      <xdr:row>24</xdr:row>
      <xdr:rowOff>150400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24210CAD-1172-C462-161D-C17A10DC567E}"/>
                </a:ext>
              </a:extLst>
            </xdr14:cNvPr>
            <xdr14:cNvContentPartPr/>
          </xdr14:nvContentPartPr>
          <xdr14:nvPr macro=""/>
          <xdr14:xfrm>
            <a:off x="8540640" y="4781520"/>
            <a:ext cx="468000" cy="27108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24210CAD-1172-C462-161D-C17A10DC567E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534515" y="4775400"/>
              <a:ext cx="480249" cy="28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169100</xdr:colOff>
      <xdr:row>22</xdr:row>
      <xdr:rowOff>150000</xdr:rowOff>
    </xdr:from>
    <xdr:to>
      <xdr:col>9</xdr:col>
      <xdr:colOff>777860</xdr:colOff>
      <xdr:row>25</xdr:row>
      <xdr:rowOff>2280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B4DF946E-FB7F-B2AC-14FA-D5B085164B3E}"/>
                </a:ext>
              </a:extLst>
            </xdr14:cNvPr>
            <xdr14:cNvContentPartPr/>
          </xdr14:nvContentPartPr>
          <xdr14:nvPr macro=""/>
          <xdr14:xfrm>
            <a:off x="7725600" y="4645800"/>
            <a:ext cx="608760" cy="46188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B4DF946E-FB7F-B2AC-14FA-D5B085164B3E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719480" y="4639680"/>
              <a:ext cx="621000" cy="4741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1283040</xdr:colOff>
      <xdr:row>29</xdr:row>
      <xdr:rowOff>34240</xdr:rowOff>
    </xdr:from>
    <xdr:to>
      <xdr:col>5</xdr:col>
      <xdr:colOff>74500</xdr:colOff>
      <xdr:row>36</xdr:row>
      <xdr:rowOff>100440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0E86E309-1E81-059C-49F6-A4A0435F9E09}"/>
                </a:ext>
              </a:extLst>
            </xdr14:cNvPr>
            <xdr14:cNvContentPartPr/>
          </xdr14:nvContentPartPr>
          <xdr14:nvPr macro=""/>
          <xdr14:xfrm>
            <a:off x="5397840" y="5927040"/>
            <a:ext cx="302760" cy="148860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0E86E309-1E81-059C-49F6-A4A0435F9E0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393520" y="5922721"/>
              <a:ext cx="311400" cy="14972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858880</xdr:colOff>
      <xdr:row>28</xdr:row>
      <xdr:rowOff>175880</xdr:rowOff>
    </xdr:from>
    <xdr:to>
      <xdr:col>7</xdr:col>
      <xdr:colOff>83960</xdr:colOff>
      <xdr:row>32</xdr:row>
      <xdr:rowOff>6040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64BA653E-913C-5861-7306-352CE1B991A0}"/>
                </a:ext>
              </a:extLst>
            </xdr14:cNvPr>
            <xdr14:cNvContentPartPr/>
          </xdr14:nvContentPartPr>
          <xdr14:nvPr macro=""/>
          <xdr14:xfrm>
            <a:off x="7361280" y="5865480"/>
            <a:ext cx="164880" cy="6429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64BA653E-913C-5861-7306-352CE1B991A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356960" y="5861160"/>
              <a:ext cx="173520" cy="65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938080</xdr:colOff>
      <xdr:row>31</xdr:row>
      <xdr:rowOff>55160</xdr:rowOff>
    </xdr:from>
    <xdr:to>
      <xdr:col>7</xdr:col>
      <xdr:colOff>235520</xdr:colOff>
      <xdr:row>34</xdr:row>
      <xdr:rowOff>143600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29BF30E8-C277-9FC1-4DD3-518F85C2BE22}"/>
                </a:ext>
              </a:extLst>
            </xdr14:cNvPr>
            <xdr14:cNvContentPartPr/>
          </xdr14:nvContentPartPr>
          <xdr14:nvPr macro=""/>
          <xdr14:xfrm>
            <a:off x="7440480" y="6354360"/>
            <a:ext cx="237240" cy="69804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29BF30E8-C277-9FC1-4DD3-518F85C2BE22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436160" y="6350040"/>
              <a:ext cx="245880" cy="70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777160</xdr:colOff>
      <xdr:row>32</xdr:row>
      <xdr:rowOff>88480</xdr:rowOff>
    </xdr:from>
    <xdr:to>
      <xdr:col>7</xdr:col>
      <xdr:colOff>121400</xdr:colOff>
      <xdr:row>37</xdr:row>
      <xdr:rowOff>48080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86FBA76F-90A4-4A9C-F20C-F1AD4EBA39E5}"/>
                </a:ext>
              </a:extLst>
            </xdr14:cNvPr>
            <xdr14:cNvContentPartPr/>
          </xdr14:nvContentPartPr>
          <xdr14:nvPr macro=""/>
          <xdr14:xfrm>
            <a:off x="7279560" y="6590880"/>
            <a:ext cx="284040" cy="97560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86FBA76F-90A4-4A9C-F20C-F1AD4EBA39E5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7275240" y="6586560"/>
              <a:ext cx="292680" cy="98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929140</xdr:colOff>
      <xdr:row>49</xdr:row>
      <xdr:rowOff>3680</xdr:rowOff>
    </xdr:from>
    <xdr:to>
      <xdr:col>6</xdr:col>
      <xdr:colOff>17500</xdr:colOff>
      <xdr:row>61</xdr:row>
      <xdr:rowOff>72680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FE0D1861-6BC4-A98A-C286-9A5E814DF686}"/>
                </a:ext>
              </a:extLst>
            </xdr14:cNvPr>
            <xdr14:cNvContentPartPr/>
          </xdr14:nvContentPartPr>
          <xdr14:nvPr macro=""/>
          <xdr14:xfrm>
            <a:off x="1754640" y="9960480"/>
            <a:ext cx="4955760" cy="2507400"/>
          </xdr14:xfrm>
        </xdr:contentPart>
      </mc:Choice>
      <mc:Fallback xmlns=""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FE0D1861-6BC4-A98A-C286-9A5E814DF686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748520" y="9954359"/>
              <a:ext cx="4967999" cy="251964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6:09:00.977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1 379 24575,'4'2'0,"0"18"0,4 3 0,2 32 0,1 18 0,-6-8 0,-1 5 0,-1-4 0,-2 1 0,-2 12 0,-2-2 0,-2-21 0,0-4 0,-1 31 0,-3-39 0,9-14 0,0-22 0,0 0 0,0 0 0,2-4 0,0 1 0,27 2 0,53 18 0,0-7 0,-15-4 0,16 0 0,-15-5 0,10 1 0,8-1 0,4 0 0,4 0-869,-5-2 0,5-2 0,4 1 0,4-1 0,1 0 1,1 1-1,0 0 869,-15 0 0,2 1 0,1 0 0,1 0 0,1 0 0,0 0 0,1 0 0,-1-1 0,1 0 0,4-1 0,1 0 0,2 0 0,1-1 0,-1 0 0,-2 0 0,-2-1 0,-3 1 0,-4-1 0,15 0 0,-3 1 0,-4-1 0,-3-1 0,-5 0 0,-3 1 0,9-1 0,-5 0 0,-6-1 0,-6 0 0,-5-1 0,-5 0 0,-14 0 0,5 5 0,-11 4 0,5 3 0,27 11 0,5 2 0,-10-6 0,7 1 0,-12-2 0,9 3 0,0-1 0,-8-4-335,11 0 1,0-4 334,-15-2 0,7 0 0,3 0 0,-3-3 0,15-2 0,-1-2 0,5-1 0,-18 0 0,4 0 0,2 1 0,1-1 0,0-1 395,0 0 0,0-1 0,1 0 1,0 1-1,2 0-395,6 2 0,2 1 0,1 0 0,-2 1 0,-1 0 0,-7 0 0,0 0 0,-2 0 0,-2 1 0,-4 0-351,3 1 0,-4 0 1,-1 1-1,0 2 351,4 4 0,1 3 0,-1 0 0,-7-2 0,-3-4 0,-5-1 0,5 2 0,5 6 0,5 2 0,4 1 0,4-5 0,-4-6 0,5-4 0,2-1 0,0-1 0,-1 2 0,-1 1 0,-1 2 0,1 0 0,-1-1 0,0-1 0,-1-3 0,1 0 0,-1-2 0,-2-1 0,-5-2 0,26-2 0,-6-4 0,-12-2 0,-14-3 0,-7-2 0,1 1 0,-5-2 697,24-26-697,-30 17 0,-4 6 0,7 0 0,19 1 0,11 1 431,-13 4 1,9 2-1,5-1 1,-2 1-432,1-1 0,0 1 0,2 0 0,6-2 0,-14 2 0,6-1 0,3-1 0,0 0 0,-3 0 0,-4-1 0,15-2 0,-4-2 0,-4 1 0,-4 1 504,11-1 0,-5 1 0,-12-1-504,-6-4 0,-25 6 0,-45 14 0,-3-2 0,0 2 0,2 0 2100,-2-6-2100,5-1 143,5-8-143,35-41 0,-6-7 0,8-18 0,-1-8 0,-18 17 0,-4 0 0,11-13 0,-5 3 0,-19 27 0,-5 8 0,0-2 0,-16 23 0,-4 11 0,-8 3 0,-6-6 0,-3 1 0,6 3 0,-2-1 0,8 2 0,-1-2 0,1 2 0,9 3 0,0 6 0,0-2 0,-2 5 0,-6-4 0,3 3 0,-1-1 0,4 1 0,-2 4 0,1 0 0,3 2 0,1 4 0,-6 21 0,-8 20 0,6 0 0,-4-8 0,17-25 0,-10 4 0,6-11 0,-4 9 0,21-48 0,24-30 0,12-14 0,-12 17 0,1-4 0,4-2 0,1 2 0,5-4 0,-1 0 0,-3 5 0,0-1 0,-2 4 0,-2 4 0,15-12 0,-9 13 0,-14 16 0,-14 24 0,-13 11 0,-3 8 0,2 2 0,1 8 0,1 34 0,5 32 0,-4-34 0,0 4 0,0 21 0,0 3 0,-2-3 0,-1 0 0,-5 7 0,-2 0 0,3-6 0,-2-7 0,-6 7 0,8-29 0,0-40 0,0 0 0,0 0 0,0-2 0,0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3:35.848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147 0 24575,'0'4'0,"0"3"0,-9 11 0,-5 11 0,0 0 0,-2 0 0,11-13 0,-2-4 0,1 1 0,-1 0 0,0-3 0,2 1 0,-1 9 0,0-7 0,-3 12 0,4-13 0,-11 13 0,13-14 0,-9 7 0,12-16 0</inkml:trace>
  <inkml:trace contextRef="#ctx0" brushRef="#br0" timeOffset="1066">22 57 24575,'18'7'0,"-6"3"0,9 5 0,-5 7 0,-5-11 0,10 15 0,-5-12 0,-1 9 0,3-7 0,-12-4 0,2-2 0,1-4 0,-2 6 0,2-5 0,0 8 0,-4-9 0,-1 4 0,-2-8 0,-4 1 0,2-1 0,-2-2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3:40.464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195 0 24575,'-25'34'0,"-14"16"0,10-6 0,-12 7 0,21-22 0,4-12 0,12-11 0,-3 3 0,2-2 0,-1 2 0,5-7 0,0 0 0</inkml:trace>
  <inkml:trace contextRef="#ctx0" brushRef="#br0" timeOffset="734">18 6 24575,'4'16'0,"9"4"0,1 6 0,10 4 0,-6-2 0,2 0 0,-1-2 0,-4-2 0,-3-8 0,-1-4 0,1 4 0,-3-5 0,2 6 0,-8-10 0,-1-5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3:45.523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0 1162 17684,'12'-2'0,"5"1"3093,6-3-3093,11 3 1181,4-1-1181,-6 2 621,-6 0-621,-7-2 1996,-6 1-1996,7-1 0,-4 2 0,-3 0 0,5 0 0,-10 0 0,5 0 0,-7 0 0,7 0 0,0 2 0,1-1 0,5 7 0,1 1 0,1 1 0,17-2 0,3-6 0,5-2 0,0 0 0,6-3 0,18-4 0,-5 3 0,33-11 0,-12 7 0,12-3 0,-35 6 0,0 0 0,32 5 0,-32-5 0,2-2 0,5-1 0,2-1 0,3-1 0,0-2 0,0 1 0,1-2 0,13-4 0,0-1 0,-15 3 0,-3-1 0,4-1 0,-2 0 0,-12 5 0,-3 1 0,33-2 0,-28 5 0,-8-1 0,5-2 0,-2-1 0,0 0 0,8-3 0,1 0 0,3 0 0,1 2 0,-1 2 0,-2 1 0,-4 2 0,-1 0 0,-1 2 0,-2 1 0,38-3 0,-18-6 0,-17 0 0,9-5 0,-4 1 0,5-3 0,2-2 0,16-3 0,11-2 0,-10 1 0,-13 2 0,-7 3 0,2 3 0,-6 2 0,13-3 0,-42 15 0,-9 4 0,43-5 0,-20 0 0,4-3 0,15-3 0,3-4 0,4-6 0,-4 0 0,-20 5 0,-7 1 0,11-12 0,-34 15 0,28-6 0,-9-1 0,13 3 0,5 0 0,22-7 0,-31 11 0,1 0 0,3-5 0,-3 1 0,17-3 0,-6-7 0,-34 17 0,-23 6 0,8 1 0,-9 1 0,0 0 0,-5 0 0,0-1 0,8-4 0,17-4 0,-3 1 0,5-5 0,-16 10 0,-8 0 0,-3 3 0</inkml:trace>
  <inkml:trace contextRef="#ctx0" brushRef="#br0" timeOffset="1200">5788 143 24575,'19'12'0,"7"6"0,18 22 0,18 9 0,-9 1 0,6-6 0,-10-14 0,-13-9 0,4-5 0,-9-1 0,44 4 0,-5-1 0,-18-8 0,0-1 0,13 4 0,-22 1 0,-15-6 0,-12 4 0,8-3 0,-7-2 0,-1 2 0,16-1 0,-7 10 0,11-7 0,-15 8 0,-7-11 0,-3 2 0,-5-5 0,-2-1 0,-2-4 0</inkml:trace>
  <inkml:trace contextRef="#ctx0" brushRef="#br0" timeOffset="2458">6300 413 24575,'11'6'0,"18"18"0,23 55 0,-17-28 0,2 3 0,4 14 0,0 3 0,-2-4 0,-1-4 0,16 19 0,-7-10 0,-13-16 0,-5 3 0,1 9 0,-4-8 0,-11-21 0,-4-13 0,-2-14 0,-1-9 0,7 0 0,-7 3 0,7-3 0,-12 3 0,1-6 0,-6 4 0,-5-3 0,4 1 0,-1-2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3:57.148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0 11 24575,'35'-3'0,"1"-1"0,-20 3 0,1-1 0,-2 2 0,-4 0 0,-2 2 0,2-2 0,-3 2 0,-3 0 0,1 2 0,9 8 0,-7 4 0,12 2 0,-15 2 0,-3-3 0,-1-2 0,-12 12 0,2-11 0,-10 16 0,6-19 0,-1 2 0,8-13 0,-3 2 0,3-4 0,-1 2 0,1-4 0,-5 2 0,1-2 0,0 4 0,6-2 0,12 2 0,13-2 0,-2 2 0,15 4 0,-16-1 0,19 10 0,-21-6 0,8 10 0,-12-7 0,-7 2 0,1 4 0,-6-1 0,-2 0 0,-1 9 0,1-16 0,-3 6 0,1-8 0,-8 4 0,-7 6 0,-10 4 0,10-10 0,-7-1 0,11-10 0,-11-1 0,9-1 0,-5-1 0,17 2 0,-5-4 0,3 3 0,-7-3 0,6 4 0,-1 0 0,7 0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4:01.070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96 1 24575,'4'2'0,"-2"7"0,0 15 0,-2-4 0,0 21 0,2-13 0,-1 15 0,5-4 0,-5-4 0,3-1 0,-4-11 0,-2-3 0,2-10 0,-2-7 0</inkml:trace>
  <inkml:trace contextRef="#ctx0" brushRef="#br0" timeOffset="2711">22 470 24575,'-2'13'0,"-1"14"0,-2 6 0,4 26 0,-4-19 0,5 6 0,-2-28 0,1 2 0,-1-8 0,4-6 0,-2-2 0,2-4 0,-2 2 0</inkml:trace>
  <inkml:trace contextRef="#ctx0" brushRef="#br0" timeOffset="5211">9 1069 24575,'4'15'0,"0"5"0,6 13 0,-7 2 0,4 9 0,-7-15 0,3-1 0,-1-12 0,2-9 0,-1 1 0,2-8 0,-4 4 0,1-4 0,-2 2 0</inkml:trace>
  <inkml:trace contextRef="#ctx0" brushRef="#br0" timeOffset="7981">659 1555 24575,'-5'5'0,"-51"29"0,6-11 0,-33 20 0,36-25 0,-1 0 0,19-5 0,-27 8 0,30-9 0,-4-1 0,13-9 0,-1 0 0,-12 4 0,0 2 0,-3 5 0,17-6 0,2 0 0</inkml:trace>
  <inkml:trace contextRef="#ctx0" brushRef="#br0" timeOffset="8895">274 1500 24575,'52'23'0,"-9"4"0,-9 1 0,0 23 0,11 6 0,-14 2 0,2 2 0,-18-31 0,-6 2 0,4-20 0,-7 1 0,0-7 0,-4 2 0,0-6 0,-2 0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4:26.114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 37 24575,'9'0'0,"5"-8"0,5 4 0,16-10 0,-7 8 0,26 3 0,-17 1 0,22 10 0,-17 1 0,-2-2 0,-7 2 0,-19-7 0,-2 12 0,-11-3 0,-8 24 0,3-16 0,-14 24 0,2-17 0,-1 3 0,0-11 0,5-5 0,-7-2 0,-2 6 0,2-8 0,6 0 0,10-7 0,-1-2 0,-19 20 0,2-4 0,-5 6 0,11-10 0,11-11 0,1-2 0,3-4 0,3 2 0,8-1 0,15 9 0,22 10 0,8 4 0,3 9 0,-20-14 0,-9 3 0,-13-18 0,1 5 0,-9-6 0,0 2 0,-3 2 0,-2-2 0,0-2 0,3-3 0,11-21 0,-10 8 0,15-14 0,-21 17 0,5 5 0,-7 6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4:29.981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75 7 24575,'5'-2'0,"5"0"0,-2 2 0,10-2 0,-9 3 0,9-1 0,-4 2 0,12 2 0,-3-3 0,4 7 0,-6 3 0,-5 7 0,-7 19 0,-42 53 0,24-42 0,-17-1 0,-2-7 0,14-27 0,-15 7 0,6-8 0,-3 6 0,-3-7 0,3 6 0,5-12 0,11-3 0,6-8 0,18-11 0,-3 3 0,17-9 0,-5 14 0,3 0 0,4 4 0,-4 4 0,-1-1 0,-4 4 0,-5-1 0,-4 1 0,2-2 0,-7 0 0,3 0 0,9 0 0,-1 0 0,1 0 0,-2 0 0,-13 0 0,4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0T16:44:15.864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276 1088 24575,'-5'16'0,"-18"32"0,-6 7 0,-16 27 0,12-11 0,10-31 0,12-15 0,6-20 0,1 1 0,2-3 0,2-2 0</inkml:trace>
  <inkml:trace contextRef="#ctx0" brushRef="#br0" timeOffset="534">48 1149 24575,'64'17'0,"8"31"0,-23 9 0,-4 11 0,-25-16 0,-9-20 0,-6-8 0,0-11 0,-5-8 0,-2-1 0,1-2 0,-1 0 0</inkml:trace>
  <inkml:trace contextRef="#ctx0" brushRef="#br0" timeOffset="1400">276 1715 24575,'-2'-2'0,"0"2"0,-8 12 0,-3 10 0,-15 18 0,13-13 0,-10 8 0,17-21 0,-10 13 0,9-14 0,-3 4 0,8-15 0,0 0 0,-1-2 0,0 0 0,3 0 0</inkml:trace>
  <inkml:trace contextRef="#ctx0" brushRef="#br0" timeOffset="1917">76 1749 12874,'15'0'0,"12"5"4630,5 8-4630,10 15 2033,-7 0-2033,0 19 1129,-21-27-1129,2 9 3909,-13-24-3909,7 4 0,-6-7 0,4 3 0,-8-3 0</inkml:trace>
  <inkml:trace contextRef="#ctx0" brushRef="#br0" timeOffset="2817">234 2257 24575,'-2'23'0,"-8"35"0,-9 5 0,4-5 0,0 0 0,-7 10 0,-3 17 0,15-59 0,0 2 0,-1-16 0,4-5 0,-7-12 0,8 3 0,-3-5 0</inkml:trace>
  <inkml:trace contextRef="#ctx0" brushRef="#br0" timeOffset="3384">1 2218 19098,'11'0'0,"8"5"2526,22 49-2526,-7-7 466,0 14 1,-2 7-467,-10-16 0,-1 0 242,13 9 1,-2-2-243,-2 14 1533,6-30-1533,-36-36 0,4-4 0,-6-4 0,0-1 0</inkml:trace>
  <inkml:trace contextRef="#ctx0" brushRef="#br0" timeOffset="18767">276 50 24575,'5'-2'0,"11"-3"0,5-1 0,6-1 0,6 4 0,-7-4 0,-5 3 0,0-1 0,-6 1 0,2 4 0,-5-4 0,-1 3 0,-2-1 0,-4 4 0,4 3 0,3 23 0,-4-4 0,2 24 0,-9-12 0,-4-5 0,-2-6 0,-2-13 0,2-2 0,-11 6 0,8-5 0,-15 13 0,-3 4 0,-5-1 0,-20 18 0,21-23 0,-4 2 0,22-18 0,1-7 0,6 1 0,-4-2 0,5 4 0,0-8 0,1-3 0,4-40 0,8 13 0,8-23 0,2 35 0,-1 8 0,-2 12 0,9 4 0,22 7 0,-3 1 0,19 8 0,-34-9 0,1 0 0,-21-5 0,-1 0 0,6 5 0,-1 5 0,8-1 0,-10 0 0,2-4 0,-5-9 0,4 3 0,12-13 0,-7 5 0,6-1 0,-13 3 0</inkml:trace>
  <inkml:trace contextRef="#ctx0" brushRef="#br0" timeOffset="24200">305 484 24575,'25'0'0,"12"5"0,-23-4 0,39 11 0,-32-8 0,17 4 0,-26-4 0,-8 1 0,2 5 0,0 6 0,2 14 0,-5 9 0,-32 32 0,4-20 0,-37 26 0,29-44 0,-1 1 0,21-24 0,10-8 0,3-6 0,11-3 0,10-8 0,14-1 0,5-1 0,0 1 0,-12 10 0,-9 2 0,-3 4 0,-2 2 0,17 19 0,5 8 0,-6 13 0,-7-4 0,-16-15 0,-9-9 0,-6-3 0,-11 2 0,-2 2 0,-4 2 0,7-12 0,8 0 0,1-7 0,2 2 0,0-4 0,-59 6 0,9 8 0,-16-4 0,34 5 0,36-13 0,1 2 0,2-2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20:45.939"/>
    </inkml:context>
    <inkml:brush xml:id="br0">
      <inkml:brushProperty name="width" value="0.025" units="cm"/>
      <inkml:brushProperty name="height" value="0.025" units="cm"/>
      <inkml:brushProperty name="color" value="#FFC114"/>
    </inkml:brush>
  </inkml:definitions>
  <inkml:trace contextRef="#ctx0" brushRef="#br0">1672 897 24575,'-14'-7'0,"-6"15"0,-22 16 0,-7 9 0,-2 11 0,-4 6 0,-2-4 0,-6 3 0,3 0 0,-8 13 0,0 1 0,10-8 0,-3 2 0,6-4 0,5-3 0,1 0 0,1 3 0,-4 5 0,3 0 0,5-5 0,3 1 0,0 0 0,2 5 0,0 1 0,2-2 0,-17 23 0,6-3 0,19-19 0,4 0 0,-2 3 0,0 3 0,-4 13 0,0 11 0,9-11 0,-1 11 0,1 1 0,1-5 0,1-3 0,1-3 0,2 6-207,5-8 1,0 6-1,2 4 1,2-3-1,4-6 207,5 14 0,5-7 0,0 0 0,-2 1 0,1-1 0,3-3 0,2-11 0,3-4 0,3-5-282,7 7 0,4-11 282,21 13 0,-12-21 0,7-2 0,6-15 0,3-4 0,-2 5 0,4-1 0,33 6 0,8-3 0,-2-5 0,4-3 0,-15-7 0,4-1 0,2-2-230,2-3 1,2-3-1,2-2 230,-15-2 0,2-3 0,1-1 0,1-3 0,2-6 0,2-2 0,0-3 0,-3 1 0,13 1 0,-3-1 0,3-5 0,-12-5 0,4-5 0,-3-2 0,-5 0 0,-3-3 0,-6 0 0,2-3 0,10-6 0,3-1 0,-8 0 0,1-2 0,-10 2 272,-18 9 0,-9 3-272,-3-3 0,-6-17 0,-2-20 0,-8 3 0,2-10 0,-4 12 0,0-4 0,1-2 0,2-9 0,1-1 0,0 0 580,-2 8 1,1 0 0,-2-2-581,0-9 0,0-3 0,-4 6 0,-3 1 0,-3-2-186,-3-6 1,0-9-1,-3 8 186,-3 4 0,-2 3 0,-1 11 0,-1-2 0,-1 4 0,2-4 0,-5-1 0,-8 5 0,-5-4 0,0 4 0,1-2 0,-3 1 0,-18-21 0,-6 3 0,7 26 0,-3 4 0,-7-3 0,-3 1 0,-2-4 0,-2 0 0,-2 7 0,-1 4 0,0 7 0,2 5 557,-24-15-557,18 24 0,3 4 0,12-2 0,-7 6 0,-8-1 0,-14-12 0,-2 1 0,11 9 0,0 1 0,-12-12 0,1 1 0,8 9 0,8 3 0,11-1 0,-37-11 0,62 27 0,2 2 0,-6 3 0,-32-4 0,11 5 0,-9-4 0,-4-1 0,-12-1 0,21 2 0,2 0 0,4-1 0,20 5 0,24 4 0,3 3 0,0-3 0,0 1 0</inkml:trace>
  <inkml:trace contextRef="#ctx0" brushRef="#br0" timeOffset="2415">6907 200 13588,'-72'16'0,"15"11"0,-3 5 2225,-2-3 0,-1 2-2225,-15 14 0,4 4 0,25-13 0,-1 4 0,-15 14 0,-8 9 0,3-3-735,-4 5 1,1 0 734,10-8 0,-2 4 0,2-5 822,-10 7 1,6-8-823,25-22 0,1-2 1496,-14 12 1,0 1-1497,8-7 0,0-2 0,5-3 0,-2-1 0,-12 9 0,-3-1 0,2-4 0,0-3 0,2-4 0,0 0 1684,-8 3 0,3-2-1684,-19 1 0,27-9 0,0 1 0,-24 8 0,5-2 0,-14 12 0,23-15 0,-10 11 0,28-18 0,14-4 0,11-1 0,-9 9 0,-11 7 0,-6 6 0,-4 9 0,-2 2 0,3-6 0,-1 2 0,-14 15 0,6-4 0,10-8 0,-22 24 0,9-1 0,13-6 0,10-19 0,-5 8 0,-6 16 0,-4 12 0,1-4 0,13-17 0,1-2 0,-4 5-208,-7 10 0,-6 6 1,-1 3-1,3-1 208,3-4 0,2-2 0,1 2 0,-1 5-660,3-1 1,0 4-1,-1 2 1,2 1-1,2-3 660,3-9 0,2-1 0,2 0 0,0 0 0,2 3 0,-1 5 0,0 4 0,3 0 0,3-4 0,5-6-162,3 5 0,7-7 1,4-1 161,1-2 0,4 0 0,6-1 0,10 4 0,7-1 0,2-4 0,5 7 0,7-1 0,3-7 0,8 2 0,4-6 0,0-14 0,5-6 0,10-1-1052,3-3 1,11 0 0,6-1 0,0-1 0,-5-4 1051,-3-1 0,-5-3 0,3-2 0,11-2 0,-3-5 0,8 1 0,6-2 0,4-2 0,3-2 0,-1-4 0,-3-4-402,-11-5 0,-1-4 0,1-3 1,0-2-1,1-2 0,1-1 0,1 1 1,2 1 401,1 1 0,1 1 0,2-1 0,2 0 0,0-1 0,0 0 0,0-2 0,0-1 0,-1-2-43,-9-1 1,1-1-1,1-1 1,-1-1-1,0-1 1,0-1-1,-2 0 1,-1-1-1,-2 0 1,-3 0 42,19-6 0,-2-1 0,-2 0 0,-2-1 0,-4-1 0,-5 1 0,-4-1 0,18-8 0,-7 0 0,-6-1 0,-6-3 37,5-8 0,-7-4 1,-10-3-38,-20 1 0,-7-3 0,-5 2 0,2-2 0,0-6 0,6-7 0,8-14 0,2-3 0,-6 4 571,0-5 1,-4 3 0,1-3-572,-4 12 0,3-1 0,-1-3 0,-3-4 0,-6 2 0,-1-7 0,-2 0 0,-3 4 0,-4 12 0,4-17 0,-4 1 0,-5 4 0,1-13 0,-3 1 0,-3 12 1700,-1-1 1,-5-2-1701,-4 6 0,-1-14 0,0-6 0,-2 2 0,0 13 0,-1 2 0,0 9 0,-4-10 0,-2 10 0,-1-12 0,-2-5 0,-1 1 0,0 9 0,-1 13 0,-5-13 0,-5 6 804,2 8 1,-4-7 0,-1-1 0,0 7-805,-14-20 0,-3 4 0,9 19 0,-2-2 0,0 4 110,-8-8 1,-1 5-111,0 8 0,-2 4 0,-3 4 0,0 3 0,9 10 0,-2 0 1593,-24-22 0,2 5-1593,4 11 0,13 8 0,1-2 1478,-18-17-1478,14 18 0,-6-2 0,-17-8 0,-3 0 88,15 11 1,-2 1-89,-23-8 0,7 6 0,18 11 0,-5-2 0,41 30 0,13 0 0,-6 5 0,-10 4 0,5 3 0,-23 14 0,11-4 0,-2 9 0,-23 42 0,14 0 0,-10 11 0,26-34 0,21-34 0,1-14 0,4 0 0,-1 0 0,1 0 0,2 1 0,0-1 0</inkml:trace>
  <inkml:trace contextRef="#ctx0" brushRef="#br0" timeOffset="5117">1494 2072 24575,'7'0'0,"14"2"0,3 6 0,15 7 0,-6 15 0,0-4 0,-13 0 0,-4-16 0,-7-6 0,3-9 0,14-8 0,11-17 0,31-33 0,-29 17 0,1-5 0,0 1 0,0 1 0,-6 2 0,-3 4 0,5-8 0,-14 24 0,-11 19 0,-2 2 0,-3 13 0,-5-4 0,3 1 0</inkml:trace>
  <inkml:trace contextRef="#ctx0" brushRef="#br0" timeOffset="6115">6012 2469 24575,'10'10'0,"13"48"0,-1 8 0,1 12 0,-8-15 0,0 3 0,1 2 0,5 8 0,2 1 0,-1-2 0,6 22 0,0-11 0,-6-34 0,0-9 0,18 10 0,9-83 0,16-31 0,8-15 0,-6 9 0,4-6 0,-18 16 0,6-7 0,-1 1 0,-6 4 0,-5 4 0,-4 3 0,-1 1 0,22-25 0,-7 6 0,-8-1 0,-15 26 0,-28 35 0,0 2 0,-4 5 0,-2 5 0</inkml:trace>
  <inkml:trace contextRef="#ctx0" brushRef="#br0" timeOffset="7399">3322 3429 24575,'-10'14'0,"-9"11"0,8-1 0,-12 10 0,9-5 0,-2-3 0,1-1 0,8-13 0,-3 9 0,1-5 0,2 2 0,1-5 0,6-10 0,0-2 0</inkml:trace>
  <inkml:trace contextRef="#ctx0" brushRef="#br0" timeOffset="8382">3175 3478 24575,'19'10'0,"1"3"0,30 19 0,-6-1 0,0 2 0,-10 4 0,-16-11 0,1 3 0,1-13 0,-4 1 0,1-9 0,-1 10 0,-8-12 0,2 5 0,-8-9 0,-2 0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4:29.313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4201 3208 24575,'-6'6'0,"0"1"0,-17 36 0,4 10 0,-4 2 0,7 13 0,9-47 0,11 6 0,2-23 0,17-3 0,14 5 0,3-2 0,1 1 0,-4-5 0,-22-1 0,20-10 0,-19 4 0,11-9 0,-16 8 0,0-3 0,-5-7 0,-5-12 0,-12-35 0,-8 13 0,-2 0 0,-11-26 0,-11-7 0,21 57 0,8 15 0,-5 4 0,7 7 0,1 2 0,4-1 0,1 6 0,-6 18 0,5-4 0,-5 26 0,9-17 0,6 20 0,1-23 0,4 3 0,1-19 0,5 6 0,3 1 0,-1 8 0,4 12 0,-7-15 0,0 5 0,0-17 0,-3-7 0,-1 0 0,-2-4 0,-5-7 0,0-8 0,-2-8 0,-7-10 0,5 11 0,-7 3 0,9 16 0,-2 6 0,2 1 0</inkml:trace>
  <inkml:trace contextRef="#ctx0" brushRef="#br0" timeOffset="967">4421 3150 24575,'1'-3'0,"76"-17"0,-19 3 0,10-4 0,6-4-1113,-8 1 0,5-2 0,4-3 0,5-2 0,5-1 1113,-7 3 0,6-3 0,4-1 0,3-2 0,2 0 0,-1 0 0,-1 0 0,-3 0-490,5-2 0,-2 0 0,0-1 0,-1 1 1,1-1-1,1-1 0,4-1 490,-10 4 0,5-2 0,2-2 0,0 1 0,1-1 0,-2 1 0,-2 1 0,-5 1 0,-4 3 0,5-2 0,-4 2 0,-4 1 0,-3 1 0,0 0 0,0-1 0,12-7 0,2-2 0,-4 1 0,-5 3 0,-10 6 893,16-7 1,-12 7-894,-12 1 0,-20 14 0,-38 19 0,-4 1 0,0 1 0</inkml:trace>
  <inkml:trace contextRef="#ctx0" brushRef="#br0" timeOffset="2184">4755 3452 24575,'23'20'0,"9"13"0,43 25 0,-24-13 0,2 1 0,-4-9 0,2 2 0,25 21 0,-1 2 0,-28-23 0,1-1 0,1 0 0,4 3 0,5 3-775,12 8 1,7 7 0,3 0 0,-1-2 774,-2-5 0,0-2 0,1 0 0,4 3 0,-4-1 0,5 4 0,0 0 0,-2-3 0,-6-6 0,14 5 0,-6-7 0,-9-5 0,-3 0 0,-11-9 0,-7-7 0,-31-5 0,13 8 0,-8 9 0,-14-19 0,-3 2 0,-10-17 0</inkml:trace>
  <inkml:trace contextRef="#ctx0" brushRef="#br0" timeOffset="3117">4377 3742 24575,'2'4'0,"-34"91"0,3-36 0,-3 5 0,-2 19 0,-4 10 0,6-22 0,-4 7 0,-2 3 0,-1 1-1187,3-7 1,-1 2-1,0 1 1,-1 1 0,0 0 1186,-2 7 0,0 1 0,0 1 0,0 0 0,-2-1 0,-4 3 0,-1 1 0,-1 0 0,2-5 0,5-6 0,-5 11 0,5-8 0,2-8 878,-5 3 0,6-11-878,3 0 957,25-45-957,5-8 0,1-5 0,2-4 0,0-3 0,0-2 0</inkml:trace>
  <inkml:trace contextRef="#ctx0" brushRef="#br0" timeOffset="4284">3813 3586 24575,'-34'-16'0,"-33"-22"0,10 14 0,-10-1 0,-1-1-1027,9 0 1,0-1 0,-12-1 1026,-3 2 0,-12-2 0,-8-1 0,-6 0 0,-1 0 0,0 2-833,14 5 1,-4 0 0,-1 0 0,-3 1 0,1 1 0,1-1 0,1 1 0,4-1 832,-11-3 0,4 0 0,2-1 0,-1 2 0,-3 0 0,-5 2 0,11 5 0,-9-1 0,-4 1 0,-3 1 0,1 0 0,4 2 0,8 1 0,11 3 0,14 1 625,-34 1 1,11 4-626,10 0 0,-11 1 0,5 0 0,21 2 0,0 1 0,55 5 0,10-6 0,2 2 0</inkml:trace>
  <inkml:trace contextRef="#ctx0" brushRef="#br0" timeOffset="5685">4044 2893 24575,'-2'-15'0,"-12"-23"0,-3-29 0,3 5 0,-1-14 0,-1-3-1230,-1-1 0,1-3 0,-2-7 1230,0 1 0,0-6 0,-3-4 0,-2-6-249,4 26 1,-2-5 0,-2-4-1,0 0 1,-1 0 0,1 1-1,1 5 249,-5-15 0,1 4 0,1 1 0,-1 0 0,-1-2 0,3 7 0,-1-3 0,0-2 0,0 4 0,1 5 0,3 9 0,-7-15 0,3 10 0,4 14 1205,-1-18-1205,14 65 0,7 16 0,3 6 0,-2-2 0,0 0 0</inkml:trace>
  <inkml:trace contextRef="#ctx0" brushRef="#br0" timeOffset="6867">4485 2817 24575,'0'-6'0,"16"-35"0,7-13 0,0 3 0,2-6 0,8-19 0,5-12 0,4-4-1359,-2 8 1,4-3 0,0-2 0,-1 2 1358,-5 10 0,-2 2 0,1 0 0,2-5 0,3-3 0,3-6 0,1-1 0,-1 4 0,-5 8 0,2-1 0,-4 7 0,0-1 542,6-11 1,1-2 0,-7 13-543,-11 18 0,-4 9 880,8-16-880,-23 39 0,4-11 0,3-1 2925,8-35-2925,-11 40 0,3-16 0,-11 40 0,0 0 0,-1 10 0,-1-3 0,-2 3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4:56.132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132 3311 24575,'5'10'0,"0"-1"0,2 10 0,3 8 0,1 0 0,10 15 0,2-10 0,9-5 0,-9-5 0,-4-17 0,-6 2 0,-7-4 0,3-3 0,-9-3 0,0-1 0,-2-17 0,2-5 0,0-42 0,0 11 0,0-4 0,0 31 0,-2 20 0,-3 2 0,-2-2 0,-1-8 0,-1-10 0,5 12 0,-9 0 0,-6 14 0,-6 7 0,-16 8 0,-20 33 0,10-11 0,3 10 0,28-28 0,19-11 0,3 5 0,8 2 0,14 4 0,-3-5 0,0-5 0,-10-5 0,2-2 0,-7 0 0,13-2 0,-11-1 0,9-1 0,-7 1 0,-1 5 0,-5-1 0,-4 3 0</inkml:trace>
  <inkml:trace contextRef="#ctx0" brushRef="#br0" timeOffset="1833">294 3486 24575,'6'0'0,"16"0"0,19-3 0,31-3 0,17-6 0,-21 0 0,11-3 0,-1 0 0,8 0 0,7-2-1655,-14 4 0,6 0 0,4-1 0,-2 0 0,-6 1 1655,-2 0 0,-5-1 0,0 2 0,4-1 0,3 2 0,7 0 0,-1 1 0,-7 1 0,-15 2 843,-8 2 0,-7 1-843,14 0 0,-7 3 0,-18 1 0,-33 2 0,1-2 0,13 4 6589,21 0-6589,9 1 0,28-3 0,-40-2 0,13 2 0,-42-2 0,1 0 0,-10 2 0,-4-6 0,-3 1 0,-28-11 0,0-14 0,-11 5 0,8-10 0,23 23 0,-7-1 0,11 10 0,-5 1 0,6 0 0,4 2 0,5-4 0,22 2 0,16 6 0,6 1 0,33 23 0,-1 18 0,-12-11 0,-1 9 0,-54-37 0,-32 26 0,7-20 0,-50 36 0,28-23 0,-40 22 0,17-14 0,11-4 0,21-15 0,25-13 0,7 0 0,-1-1 0,1-1 0</inkml:trace>
  <inkml:trace contextRef="#ctx0" brushRef="#br0" timeOffset="2783">3333 3167 24575,'-10'7'0,"-8"12"0,-19 24 0,8-5 0,-1 15 0,26-19 0,18 7 0,10-18 0,7-3 0,-10-17 0,-9-2 0,-10-4 0,-2-1 0,-5-13 0,2-2 0,-22-23 0,15 12 0,-12 3 0,16 16 0,-2 11 0,3 2 0,1-2 0,4 2 0</inkml:trace>
  <inkml:trace contextRef="#ctx0" brushRef="#br0" timeOffset="4250">3514 3265 24575,'4'-2'0,"1"2"0,40 14 0,-6-2 0,28 10 0,-3-12 0,16-1 0,4-1-519,-12-2 0,4-2 0,3 1 0,6-1 519,-7-1 0,7 1 0,3-1 0,1 0 0,-1-1 0,-5 0 0,19-1 0,-3-1 0,-2-1 0,1-2 0,6-3 0,4-1 0,-7-2 0,-16 0 180,-10-1 0,-8-3-180,15-6 0,-10-1 0,-21-4 0,-4-2 0,-15 9 0,-14 7 1566,-16 8-1566,-2 2 150,-6 2-150,1-2 0,-15 2 0,1-4 0,-25-6 0,4 4 0,3-7 0,14 10 0,15-3 0,0 4 0,6 0 0,8 0 0,28 5 0,16 10 0,32 5 0,-31 4 0,0-8 0,-43 48 0,-13-7 0,-10 7 0,-3 4 0,-5 13 0,-7-22 0,0-3 0,10 1 0,-13-3 0,27-31 0,18-37 0,-6 9 0,11-13 0</inkml:trace>
  <inkml:trace contextRef="#ctx0" brushRef="#br0" timeOffset="5033">6597 3134 24575,'0'-4'0,"0"-1"0,-2 3 0,-6 0 0,-4 15 0,-8 19 0,8 5 0,0 12 0,17-15 0,11-8 0,-1-7 0,5-11 0,-7-6 0,-6-5 0,8-1 0,-3-3 0,5-7 0,-7 5 0,2-13 0,-15 7 0,6-5 0,-19 3 0,-3-5 0,-7 7 0,-10-6 0,16 13 0,-4 2 0,17 5 0,0 1 0,0 7 0,-3 7 0,3-5 0,-1 2 0</inkml:trace>
  <inkml:trace contextRef="#ctx0" brushRef="#br0" timeOffset="5950">6576 2877 24575,'-4'-6'0,"3"-4"0,-3-12 0,4-26 0,1-22 0,-2-14 0,-3-10 0,0-7 0,2 14 0,2-6 0,0 1 0,1 1 0,1 2 0,2 3 0,5-14 0,3 3 0,3-5 0,3 9 0,7 0 0,-8 5 0,-11 69 0,-4 6 0,-2 17 0</inkml:trace>
  <inkml:trace contextRef="#ctx0" brushRef="#br0" timeOffset="7650">6612 1206 24575,'-2'12'0,"-15"21"0,-2 16 0,-5-7 0,4 5 0,14-34 0,0-3 0,6-9 0,2-8 0,-2 2 0,20-21 0,-1 7 0,7-10 0,-7 18 0,-7 12 0,30 23 0,23 23 0,4 1 0,3 21 0,-38-40 0,-12 4 0,-10-25 0,-10-2 0,-2-2 0,0-1 0,-2-1 0</inkml:trace>
  <inkml:trace contextRef="#ctx0" brushRef="#br0" timeOffset="8600">6603 876 24575,'9'0'0,"5"19"0,25 38 0,-7-5 0,10 12 0,-21-40 0,-1-15 0,-5-10 0,-2 1 0,-2-8 0,2-3 0,-2-3 0,5-13 0,-6 8 0,-2-1 0,-3 9 0,-7 8 0,-3 2 0,-2-2 0,-14-4 0,-10-2 0,-1 1 0,-6 3 0,2 10 0,11-2 0,-4 3 0,19-6 0,4 0 0,0-2 0,3 4 0,-1-2 0,4 2 0</inkml:trace>
  <inkml:trace contextRef="#ctx0" brushRef="#br0" timeOffset="10566">213 3150 24575,'12'-15'0,"25"-18"0,1-3 0,31-28 0,-15 17 0,6-8 0,-2-1 0,4-6 0,2 0 0,0 1 0,1 1 0,1-3 0,-11 6 0,1-3 0,-1 0 0,-5 6 0,15-14 0,-4 2 0,-18 14 0,0-2 0,-2 2 0,11-9 0,-2 1 0,-1 0 0,0 1 0,3 0 0,-5 6 0,2 3 0,-11 9 0,-10 15 0,-15 10 0,5-2 0,-12 12 0,-6 4 0</inkml:trace>
  <inkml:trace contextRef="#ctx0" brushRef="#br0" timeOffset="11367">1725 1398 24575,'19'-2'0,"27"4"0,7 6 0,1 5 0,-16 24 0,-24-14 0,-16 61 0,-13-28 0,-18 33 0,3-23 0,9-32 0,12-7 0,5-25 0,6-2 0</inkml:trace>
  <inkml:trace contextRef="#ctx0" brushRef="#br0" timeOffset="12433">2160 1337 24575,'2'7'0,"2"10"0,5-2 0,-1 5 0,5-11 0,-7-7 0,16-15 0,2-3 0,2-1 0,-9 5 0,-13 7 0,-6 3 0,-4-2 0,-3-6 0,-2-3 0,-6 0 0,5 2 0,-7 9 0,5 2 0,-18 8 0,11 4 0,-6-1 0,18-2 0,7-8 0</inkml:trace>
  <inkml:trace contextRef="#ctx0" brushRef="#br0" timeOffset="13300">2334 1259 24575,'2'-2'0,"45"-23"0,20 8 0,12-9 0,19-6-1192,-29 12 0,8-1 0,6-2 0,1 0 0,-1-1 1192,0-2 0,-1 1 0,1-2 0,4-1 0,6-2-412,-9 3 1,7-1 0,4-1 0,2-2 0,1 0 0,-2 1 0,-4-1 0,-6 2 411,2-3 0,-4 1 0,-3-1 0,-2 1 0,0 0 0,0 1 0,16-5 0,2 1 0,-3 0 0,-6 2 0,-11 1 606,-6-1 1,-9 2 0,-13 4-607,-2-8 0,-37 22 0,-4 1 2449,-3 7-2449,3-5 4980,-3-2-4980,5 0 0,-5 5 0,1 4 0,-4 4 0</inkml:trace>
  <inkml:trace contextRef="#ctx0" brushRef="#br0" timeOffset="14133">5545 0 24575,'3'58'0,"3"-22"0,6 43 0,-1-50 0,2 0 0,1-22 0,-1-5 0,8-4 0,-2-3 0,14-8 0,-7-4 0,1-2 0,-9 1 0,-6-5 0,-5 6 0,-4 1 0,-8 8 0,-7 5 0,-16-4 0,-7-1 0,-13 1 0,7 3 0,9 4 0,13 0 0,6 0 0,6 0 0,0 0 0,5 0 0,0 0 0</inkml:trace>
  <inkml:trace contextRef="#ctx0" brushRef="#br0" timeOffset="15753">6008 273 24575,'7'3'0,"15"7"0,10 9 0,8 10 0,-3 0 0,-8 2 0,-2-5 0,-8-3 0,13-2 0,-19-3 0,18-4 0,-20 6 0,10 3 0,16 40 0,1-7 0,16 15 0,-20-30 0,-8-17 0,-12-8 0,-3-6 0,-6 0 0,-1-5 0,-4 2 0,0-5 0,-7-2 0,-22-8 0,-3 2 0,-6-6 0,-4 6 0,17 1 0,-1 3 0,11 0 0,4-4 0,3-1 0,-1-4 0,9 6 0,15 5 0,1 1 0,20 9 0,-11-7 0,3 4 0,-15-6 0,-3-2 0,3-18 0,4-7 0,1-2 0,2-14 0,-11 16 0,3-4 0,-9 15 0,-1 9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5:24.482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69 108 24575,'-5'-2'0,"-7"8"0,5-4 0,-4 6 0,8-5 0,0 0 0,-1 0 0,0 1 0,1 2 0,-5 5 0,6-3 0,-4 4 0,10-3 0,1-4 0,1 7 0,2-7 0,6 4 0,-3-3 0,7-2 0,-9-1 0,19-1 0,-9-4 0,15 1 0,-15-5 0,5 3 0,-14-2 0,2 1 0,-10-1 0,-2-9 0,4-6 0,0-17 0,1 4 0,-3-3 0,-6 18 0,3 6 0,-5 6 0,6-1 0,-2 0 0,-2 1 0,1 2 0,-7 5 0,4-2 0,-2 5 0,3-4 0,1 0 0,-2 2 0,3-3 0,-7 2 0,2 1 0,-4 1 0,1 2 0,-5-1 0,5-1 0,-10 4 0,13-4 0,-5 5 0,8-5 0,2 2 0,0 8 0,4-2 0,-5 4 0,5-5 0,4-5 0,2-1 0,2 0 0,-3-1 0,-2-1 0,7-2 0,-3 4 0,3-1 0,-6 3 0,-1-4 0,5-2 0,3 0 0,0-3 0,1 3 0,-12 0 0,0 0 0,-12 0 0,4-1 0,-7 0 0,8-1 0,3 2 0,4 0 0,3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5:28.81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0 742 24575,'2'-2'0,"0"0"0,5 0 0,-2 1 0,1-3 0,1 4 0,22-15 0,-2 5 0,11-7 0,21-9 0,-19 12 0,13-7 0,1-4 0,-7 10 0,34-16 0,-3 7 0,7-2 0,-4 2 0,-1-1 0,0 1 0,2-2 0,-16 3 0,2-3 0,-2 3 0,9-1 0,0 1 0,18-8 0,2 1 0,-15 7 0,-7 2 0,19-2 0,-33 4 0,10-1 0,-32 6 0,6 1 0,-30 8 0,-10 1 0,1 2 0,26-15 0,-8 4 0,16-7 0,-15 6 0,-11 6 0,0 1 0,-5 3 0,-5 5 0,-2 0 0,0 1 0,0 0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5:32.699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1285 24575,'0'6'0,"0"8"0,4 3 0,6 2 0,5-1 0,11-7 0,-1 0 0,7-6 0,-11 2 0,0-2 0,-7-2 0,1-3 0,-1-1 0,-2-1 0,-9 2 0,-4 0 0,-8-2 0,-7-1 0,-2-4 0,-7 0 0,3-1 0,6-2 0,0 2 0,6-1 0,-3-8 0,8 6 0,-6-9 0,6 9 0,-1 0 0,2 4 0,1 0 0,3 5 0,2 0 0,3 2 0,-1 4 0,3 1 0,23 15 0,-10-7 0,13 7 0,-14-12 0,-2-1 0,1-3 0,11-1 0,-8 1 0,2 1 0,-12 9 0,-2 6 0,-12 2 0,-2-3 0,-7-4 0,-5-7 0,8-1 0,-2-1 0,-3-3 0,5 4 0,-5-4 0,9-2 0,-1-1 0,3 0 0,-2 0 0</inkml:trace>
  <inkml:trace contextRef="#ctx0" brushRef="#br0" timeOffset="850">208 1175 24575,'0'-6'0,"2"-1"0,19-36 0,-6 13 0,10-14 0,1-5 0,4-25 0,-5 19 0,4-10 0,1-2 0,-1-2 0,1-2 0,0-1 0,1-4 0,0 0 0,0 2 0,-1 9 0,-1 3 0,-3 8 0,9-28 0,-18 55 0,-12 21 0,-5 7 0</inkml:trace>
  <inkml:trace contextRef="#ctx0" brushRef="#br0" timeOffset="1783">542 1135 23260,'7'-7'0,"53"-22"647,-17 9-647,11-3 0,4 0 220,19-5-220,-23 4 0,-1 1 111,16-3-111,-6-7 337,-27 20-337,-18 4 0,2 4 0,-1 1 0,19 0 0,-8-4 0,6 7 0,-29-1 0,-5 4 0</inkml:trace>
  <inkml:trace contextRef="#ctx0" brushRef="#br0" timeOffset="2717">728 1341 24575,'7'0'0,"15"3"0,32 9 0,10 4 0,7 0 0,3 1 0,16 5 0,-17-7 0,4-1 0,-1-5 0,0-2 0,-4-3 0,-1-1 0,-6 0 0,-4-1 0,25-6 0,-67 2 0,12 5 0,4 2 0,-15 0 0,6 2 0,-20-2 0,-5 8 0,0-8 0,-3 6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35:36.81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3218 2775 24575,'4'2'0,"7"8"0,12 58 0,0-13 0,1 5 0,-4 4 0,-1 1 0,3 2 0,-1 0 0,-2-4 0,-1-1 0,-2-3 0,0 1 0,3 6 0,-1 1 0,-1-2 0,-1-1 0,-2 2 0,0-3 0,12 30 0,-1-11 0,-7-50 0,-3-27 0,3 5 0,-9-7 0,1 4 0,-10-1 0,0-1 0,0-1 0,0-2 0</inkml:trace>
  <inkml:trace contextRef="#ctx0" brushRef="#br0" timeOffset="950">3691 4197 24575,'-2'-2'0,"-4"1"0,-22 28 0,-18 25 0,4 3 0,-1 5 0,10-15 0,2-1 0,-2 9 0,3-4 0,5-10 0,9-6 0,7-17 0,2 0 0,4-7 0,4-12 0,2-3 0</inkml:trace>
  <inkml:trace contextRef="#ctx0" brushRef="#br0" timeOffset="1749">3764 4196 19562,'7'-3'0,"-1"1"2331,16 2-2331,1 3 0,42 12 0,-17 4 426,1 10 0,2 3-426,9 7 0,-3 6 0,1-1 0,1-10 442,20 24-442,-50-46 1388,-4 5-1388,-22-3 0,-3-5 0,-4 6 0,0-11 0</inkml:trace>
  <inkml:trace contextRef="#ctx0" brushRef="#br0" timeOffset="2483">4063 4069 24575,'61'-26'0,"1"0"0,0 0 0,19-11 0,2 12 0,6 26 0,2 14 0,-27 0 0,1 5 0,3 3 0,19 8 0,3 4 0,-4 1 0,-16-6 0,-3 0 0,-5 0 0,8 8 0,-11-6 0,-7-8 0,-45-10 0,-8 6 0,-8 8 0,1-12 0,-3-2 0</inkml:trace>
  <inkml:trace contextRef="#ctx0" brushRef="#br0" timeOffset="3950">2998 2536 24575,'-85'-12'0,"-6"9"0,20-1 0,-5 2 0,-1 8 0,0 3 0,7-3 0,4 1 0,13 1 0,3-1 0,-36 3 0,48-10 0,-10 1 0,-10 1 0,-22-1 0,-10-1 0,-5 2 0,-8-1 0,6 0 0,0 1 0,2-1 0,17 0 0,-1 0 0,10 0 0,-18 6 0,9-1 0,0 0 0,-21 2 0,41-4 0,10 1 0,31 0 0,15-5 0,2 2 0</inkml:trace>
  <inkml:trace contextRef="#ctx0" brushRef="#br0" timeOffset="4766">118 1919 24575,'57'61'0,"9"14"0,-9-10 0,1 3 0,-20-22 0,-1 1 0,23 23 0,-5-5 0,-12-14 0,26 21 0,-29-36 0,35 23 0,-31-23 0,26 14 0,-43-23 0,3-5 0,-27-12 0,-2-9 0,-1 1 0</inkml:trace>
  <inkml:trace contextRef="#ctx0" brushRef="#br0" timeOffset="5850">721 2764 24575,'-1'-2'0,"-11"-5"0,-6 2 0,-13-1 0,4 4 0,-21 5 0,-18 3 0,-8-2 0,-3-4 0,20 2 0,-25 5 0,32 1 0,-29 1 0,55-4 0,-7-3 0,15 3 0,0-2 0,7 1 0,7-2 0,2 2 0,0-1 0,0-1 0</inkml:trace>
  <inkml:trace contextRef="#ctx0" brushRef="#br0" timeOffset="6500">833 2767 24575,'-32'34'0,"-16"31"0,-15 24 0,5-7 0,7-11 0,-2 1-591,5-3 1,-7 9 0,1 1 0,6-7 590,9-11 0,5-4 0,2-3 0,-8 12 0,3-4 0,7-6 0,3-6 755,-1 0-755,23-43 0,3-5 0,0-2 0</inkml:trace>
  <inkml:trace contextRef="#ctx0" brushRef="#br0" timeOffset="7966">2602 419 24575,'4'-1'0,"-1"2"0,3 8 0,17 48 0,-1 20 0,-5-11 0,3 13 0,0-4 0,3 8 0,1 1 0,-6-3 0,0 7 0,2-3 0,3-7 0,2-3 0,-3-3 0,2 13 0,-1-3 0,4 8 0,2-5 0,-6-30 0,-2-7 0,8 24 0,6 6 0,-21-6 0,-4 3 0,5 23 0,-9-25 0,-1-3 0,3 6 0,-7-41 0,1-6 0,-2-19 0,-2-9 0,2 0 0</inkml:trace>
  <inkml:trace contextRef="#ctx0" brushRef="#br0" timeOffset="8783">1810 369 24575,'18'-5'0,"14"8"0,24 4 0,19 15 0,-26-9 0,3 2 0,7 5 0,1 2 0,-4-5 0,-2-1 0,24 14 0,-33-15 0,-33-10 0,-3-3 0,-5 0 0,-2 0 0,-2 2 0,0-1 0,0-1 0</inkml:trace>
  <inkml:trace contextRef="#ctx0" brushRef="#br0" timeOffset="9366">2860 1 12468,'-38'26'0,"-11"15"2361,12-7 0,-2 4-2361,-1 0 0,2-1 2105,-20 29-2105,21-25 1176,24-21-1176,11-13 4104,2-1-4104,-2-1 0,2-1 0,-2-2 0</inkml:trace>
  <inkml:trace contextRef="#ctx0" brushRef="#br0" timeOffset="10066">3438 37 24575,'-61'30'0,"0"-2"0,-14 5 0,-9 5 0,5-4 0,1-1 0,1-1 0,5-2 0,13-5 0,5-2 0,-29 11 0,47-17 0,-18 4 0,26-3 0,13-9 0,-3 3 0,11-3 0,8-7 0,1 0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16:43:43.168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5 3 24575,'-2'-2'0,"0"3"0,2-2 0,0 3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6:01:48.344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1140 59 24575,'-46'-5'0,"8"4"0,-27-10 0,11 6 0,-1 2 0,-18-5 0,-9 1 0,2 2 0,21 3 0,-36-6 0,64 7 0,1-2 0,-3 3 0,8 3 0,2-3 0,5 3 0,13-3 0,1 4 0,0-2 0,1 5 0,1-3 0,-7 9 0,-1 25 0,-1 1 0,-4 32 0,11-30 0,4 27 0,4-14 0,5 0 0,-4-6 0,3-12 0,4 14 0,0-6 0,1 9 0,-2-10 0,0-11 0,14 11 0,-6-26 0,11 9 0,7 7 0,-3-4 0,15 3 0,-11-14 0,-11-18 0,5 5 0,-18-5 0,7 3 0,-1-3 0,6 0 0,21 2 0,-14 1 0,12 0 0,-22-1 0,12 1 0,-16-3 0,5 5 0,-32-10 0,-11 3 0,-16-7 0,-35 3 0,25-2 0,-12-1 0,29 6 0,17-1 0,3 4 0,4-1 0,4-3 0,-2 2 0,0-1 0,-1 0 0,-5-2 0,4 0 0,5 3 0,10 1 0,34 8 0,-1-1 0,24 5 0,-8 0 0,-13-2 0,-6-4 0,-14 2 0,-4-4 0,-8 3 0,-2-3 0,-11 1 0,0-2 0,-2 4 0,-2 1 0,-21 8 0,-45 3 0,17-5 0,-29-1 0,55-12 0,4 0 0,8 1 0,9 0 0,-7 3 0,3-4 0,-1 2 0,0-2 0,-5 0 0,8 0 0,-5 0 0</inkml:trace>
  <inkml:trace contextRef="#ctx0" brushRef="#br0" timeOffset="2334">328 734 24575,'-4'41'0,"-3"47"0,-5-15 0,-2 11 0,1-5 0,-1 5 0,-1-3 0,-7 16 0,0-1 0,9-21 0,1 2 0,-2-2 0,-11 23 0,1-4 0,14-13 0,1 0 0,-11 8 0,0-2 0,14-18 0,2-4 0,-6 31 0,5-33 0,-1 3 0,0-6 0,1-4 0,-4 27 0,2-3 0,7-38 0,3 7 0,-3-5 0,14 31 0,-4-20 0,5 3 0,4 5 0,-1-9 0,3-2 0,2 7 0,0-3 0,15 21 0,6-20 0,-21-31 0,3-2 0,-5-17 0,-5-6 0,5-3 0,0-2 0,-5 3 0,-4-3 0,-4 4 0,-2 0 0,5-2 0,1 2 0,-1-2 0,4 2 0,-5 0 0,7 0 0,-5 0 0,-2-2 0,-4 1 0,-4-3 0,0 2 0,-4-11 0,-18-16 0,-2-9 0,-30-26 0,16 23 0,-3 2 0,20 23 0,9 13 0,3-1 0,5 6 0,12 10 0,18 5 0,41 48 0,-29-28 0,0 0 0,-5 5 0,-3 0 0,20 28 0,-39-23 0,-1-9 0,-9 2 0,-11-3 0,-16 8 0,-11-4 0,7-6 0,-3-11 0,23-17 0,-5-3 0,10 0 0,-3-3 0,-11-4 0,11 1 0,-10-2 0</inkml:trace>
  <inkml:trace contextRef="#ctx0" brushRef="#br0" timeOffset="5017">895 1360 24575,'-7'0'0,"-3"0"0,0 4 0,0-3 0,-3 3 0,-4-4 0,-26 15 0,4 0 0,-43 41 0,21 1 0,27-20 0,2 2 0,-22 39 0,28-16 0,1 4 0,-1 4 0,1 1 0,0 3 0,3-3 0,4-10 0,3-6 0,4 14 0,10-1 0,3-5 0,7 28 0,-2-30 0,3 1 0,1 3 0,4 22 0,-1-29 0,1 1 0,-3-5 0,1-2 0,17 24 0,-2 1 0,6-15 0,-3-8 0,8 9 0,0-3 0,-9-16 0,5-2 0,-12-16 0,10-1 0,-13-11 0,-5-9 0,-13-5 0,-52-15 0,0 3 0,-12-1 0,-6-2 0,12-1 0,2-1 0,1 4 0,3-1 0,-23-21 0,41 13 0,-4-16 0,13 15 0,0-5 0,19 19 0,8 7 0,28 10 0,38 0 0,-4 5 0,-7-2 0,2-1 0,18 5 0,9 4 0,-17-7 0,-38-8 0,-6-1 0,-15 3 0,-7-3 0,1 3 0,-2-3 0,-1-4 0,-2-3 0,-3-5 0,2-3 0,-7-38 0,5-17 0,-3 3 0,5 2 0,-2 47 0,2 0 0,-2 12 0,2-1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6:01:56.177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70 5 24145,'2'-3'0,"0"2"214,6 2-214,-2 2 71,16 18-71,-10 43 36,6 19-36,-14 0 0,-3 18 0,-4-6 0,-7 4 0,0-1 36,6-12 0,3 4 1,-4-9-37,-6-9 0,0-14 0,11-16 0,-3-11 0,3-23 0,0-13 0,-2 1 0,-1 0 0,-11-18 0,-3-2 0,-3-9 0,2-1 0,12 17 0,-1 0 0,14 21 0,10 11 0,14 32 0,4 13 0,-6-6 0,0 3 0,13 28 0,-2 5 0,-7 2 0,-5-7 0,2 4 0,2 1 0,-28-90 0,0-1 0,0-8 0,4-15 0,13-32 0,2-18 0,6-10 0,-5 17 0,-4-6 0,-3 8 0,-3 8 0,-4 6 0,-7 44 0,-1-5 0,-2 18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4:54:59.148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538 1734 24575,'-7'-7'0,"-24"-43"0,-9-37 0,11 34 0,1-3 0,4-8 0,2 1 0,2 16 0,2 1 0,2-6 0,3 1 0,-11-23 0,-2-21 0,6 16 0,-6-10 0,12 34 0,-1 1 0,-12-33 0,-1-3 0,9 30 0,-5 4 0,14 26 0,-11-10 0,14 23 0,-6-5 0,8 9 0,0 6 0,1 2 0,4 1 0,-2 4 0,2-2 0</inkml:trace>
  <inkml:trace contextRef="#ctx0" brushRef="#br0" timeOffset="1996">284 311 24575,'19'10'0,"-8"7"0,20 2 0,-15 13 0,1-2 0,1 14 0,-11-15 0,8 19 0,-11-3 0,9 41 0,-5-20 0,1-16 0,0-1 0,-2 5 0,7 16 0,-5 16 0,5-23 0,-5-6 0,0-1 0,6 8 0,3 26 0,-9-52 0,8 10 0,-11-33 0,10 19 0,-3 4 0,5-1 0,1 7 0,-4-16 0,2 6 0,-6-6 0,14 25 0,-9-21 0,4 8 0,-12-25 0,-4-11 0,-4-2 0,0-4 0</inkml:trace>
  <inkml:trace contextRef="#ctx0" brushRef="#br0" timeOffset="2842">928 1666 24413,'4'-5'0,"-1"-3"0,8-38 0,-1-13 0,-3-16 0,-1 3 0,2-15 0,-5 6 0,-11-3 0,-3 2 40,4-17 1,-3 1-41,-7 17 0,-2 7 13,1 21 1,1 2-14,1-2 0,0-1 6,-3-3 1,-1-2-7,3-9 0,2 1 0,-9-25 20,9 33 1,1 10-21,5 30 0,-4-13 0,7 32 0,6-2 0,-2 4 0</inkml:trace>
  <inkml:trace contextRef="#ctx0" brushRef="#br0" timeOffset="3476">1096 338 24575,'9'2'0,"23"74"0,-19-2 0,-4 17 0,1 0 0,2-4 0,2 0 0,-3 5-553,-3-2 0,-3 6 0,0-1 0,0-7 553,-1-7 0,0-5 0,0-3 0,1 21 0,1-9 0,2 7 709,1-19-709,-7-65 365,1 10-365,1-9 0,-2 1 0,1 4 284,1-4 1,-4 0-1,2-4 1</inkml:trace>
  <inkml:trace contextRef="#ctx0" brushRef="#br0" timeOffset="4192">1584 548 24575,'34'47'0,"-8"34"0,-2-10 0,-1 13 0,-13-14 0,-3 9 0,-2 2 0,0-3-1028,0 10 0,0-2 0,-2 1 1028,0-11 0,-1 2 0,0-1 0,-1-8 0,0 24 0,-2-14 972,-1-1-972,0-30 126,-12-37 1,9-11 0,-7 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4:55:14.412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1 0 24575,'24'60'0,"-7"18"0,0 8 0,-3-19 0,0 1 0,3 31 0,0-5 0,6-3 0,-11-47 0,-10-35 0</inkml:trace>
  <inkml:trace contextRef="#ctx0" brushRef="#br0" timeOffset="1995">338 360 24575,'27'52'0,"5"35"0,-6-31 0,0 1 0,7 30 0,-9-40 0,-20-49 0,0-2 0,32-70 0,-10 13 0,-5 12 0,-3 0 0,-6-7 0,-15 31 0,-22 12 0,4 9 0,-57-12 0,20 8 0,-34-10 0,37 7 0,16 4 0,14 5 0,23 4 0,17 8 0,8-7 0,48 12 0,-12-13 0,23 5 0,-32-9 0,-8-3 0,-19-3 0,-3-4 0,-11 8 0,-7 5 0,-2 13 0,-3 46 0,6 19 0,-2 19 0,16-13 0,-5-44 0,13-21 0,-4-25 0,6-7 0,26-17 0,7-7 0,1-8 0,-13-15 0,-33 15 0,-16-2 0,-28 11 0,-10 15 0,-26-10 0,-4 8 0,14 3 0,0 7 0,37 9 0,3 3 0,18 0 0,14 0 0,35 2 0,8 0 0,5-1 0,9 1 0,-1-2 0,-17-3 0,-3-2 0,-29 2 0,-13 3 0,-6 7 0,3 32 0,-2 38 0,8 4 0,6 6 0,7-43 0,-2-22 0,-6-11 0,-11-9 0,-4-4 0,-1 0 0,6-16 0,7-29 0,-3-19 0,2-5 0,-19-16 0,-16 31 0,0 1 0,-7 25 0,1 13 0,4 3 0,1 3 0,8 7 0,-2 16 0,-5 10 0,-7 5 0,-15 24 0,25-33 0,-8 13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8T14:55:10.691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212 215 24575,'2'34'0,"4"11"0,0 10 0,2 3 0,0-10 0,-4-10 0,2-17 0,-5-7 0,1-12 0,-2 0 0</inkml:trace>
  <inkml:trace contextRef="#ctx0" brushRef="#br0" timeOffset="1616">389 136 24575,'-2'-4'0,"0"1"0,-4-1 0,-4 1 0,-15-9 0,-10 4 0,-7-9 0,9 10 0,-1-3 0,9-5 0,-5 8 0,3-10 0,6 11 0,6 3 0,1 1 0,11 6 0,-3 0 0,4 5 0,-1 1 0,-2 32 0,2-22 0,-9 61 0,5-37 0,-4 16 0,8-16 0,-2-19 0,2 7 0,0-6 0,1 4 0,2-12 0,2 21 0,4-1 0,1 0 0,29 33 0,-12-37 0,12 2 0,2-1 0,-2-5 0,34 1 0,-46-21 0,18-2 0,-26-8 0,5 2 0,-6-6 0,-10 2 0,1-3 0,-4 3 0,-2-11 0,2-2 0,1-39 0,1-34 0,-4 38 0,0-1 0,2 0 0,-1 1 0,-4-25 0,-3-8 0,2 33 0,-4-42 0,2 44 0,3-5 0,-1 22 0,1 18 0,-1 10 0,0 0 0,-1 2 0,1-1 0,2 4 0,0-2 0,2 2 0</inkml:trace>
  <inkml:trace contextRef="#ctx0" brushRef="#br0" timeOffset="2249">837 504 24575,'11'-2'0,"9"3"0,9 2 0,50 10 0,-18 3 0,5 0 0,-3-7 0,0 1 0,0 4 0,-6-1 0,9-8 0,-49-2 0,1 0 0,-18-2 0</inkml:trace>
  <inkml:trace contextRef="#ctx0" brushRef="#br0" timeOffset="2683">1125 739 24575,'37'-3'0,"-1"4"0,37-1 0,-23 2 0,-6-2 0,-21 0 0,-3 0 0,-14-2 0,2 2 0,-8-2 0</inkml:trace>
  <inkml:trace contextRef="#ctx0" brushRef="#br0" timeOffset="3316">1283 136 24575,'35'16'0,"18"30"0,-7-2 0,0 3 0,20 22 0,-24-20 0,-3-5 0,-9-19 0,2 5 0,-13-12 0,-26 3 0,-35 60 0,0-23 0,-5 4 0,7 2 0,-1 1 0,-14 15 0,4-3 0,23-33 0,3-3 0,-21 39 0,15-35 0,19-28 0,5-3 0,5-9 0,2-3 0,0 0 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02:44.47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346 4135 24575,'-2'-6'0,"0"-3"0,-1 0 0,1 0 0,-2-2 0,-2-9 0,-4 2 0,0-21 0,-8-3 0,4 1 0,-5-7 0,-1 14 0,5-4 0,-1 10 0,0-30 0,6-18 0,1-4 0,7 20 0,1 2 0,4-14 0,1 16 0,1 0 0,6-15 0,6-12 0,2 0 0,-1 5 0,-1 13 0,-2 8 0,-8 27 0,-4 16 0,1 4 0,8-20 0,-5 8 0,12-24 0,-11 25 0,5-4 0,-7 16 0,-2 3 0,-7 6 0,-1 0 0,-5 2 0,0 2 0,-1-3 0,2 3 0,-1-4 0,-1 0 0,-12 2 0,4 1 0,-8 2 0,6 3 0,3-3 0,7 2 0,3-4 0,7 1 0,-2-6 0,2 0 0,2-3 0,7-6 0,-1 6 0,10-7 0,14 2 0,-8 2 0,8 0 0,-19 6 0,-6 2 0,-3 2 0,-2 0 0,0 2 0,-1 2 0,0-1 0,2 8 0,9 8 0,-2-1 0,12 7 0,-12-16 0,7 5 0,3 2 0,-3-5 0,-1 2 0,-10-13 0</inkml:trace>
  <inkml:trace contextRef="#ctx0" brushRef="#br0" timeOffset="2800">328 2351 24575,'-2'-6'0,"-13"-15"0,-26-29 0,1-8 0,-16-21 0,31 22 0,2-10 0,3 0 0,-2-25 0,2-4 0,2 14 0,0-5 0,4 7 0,5-4 0,5 11 0,4-16 0,14 7 0,-5 39 0,10-21 0,-13 48 0,7 9 0,-10 4 0,15-1 0,-5 4 0,27-3 0,34 12 0,-14-2 0,-7 4 0,-1 3 0,-8 3 0,14 2 0,-27-8 0,-16-8 0,0-1 0,-14-2 0,-11-4 0,-22-14 0,1 7 0,-15-7 0,25 16 0,-6-2 0,12 3 0,0-3 0,5 4 0,7-2 0,-1 1 0,2-1 0,-1 0 0,3-4 0,1 1 0,3-1 0,13 4 0,-5 6 0,19 0 0,26 12 0,-18-11 0,15 10 0,-24-12 0,-12 3 0,7-3 0,-11-1 0,-6-2 0,-7 0 0,-2 0 0,-17-7 0,5 1 0,-22-31 0,15 8 0,-2-13 0,12 21 0,8 14 0,2 9 0,9 14 0,18 8 0,10 23 0,4-12 0,-9 8 0,-17-23 0,-8-5 0,-5-7 0,-2 3 0,0-5 0,-17 29 0,4-13 0,-16 18 0,2-11 0,10-12 0,-1-4 0,16-9 0,-4-2 0,3 3 0,-1-3 0,2 0 0</inkml:trace>
  <inkml:trace contextRef="#ctx0" brushRef="#br0" timeOffset="5183">841 957 24575,'-2'-9'0,"-8"-8"0,-2 0 0,-22-25 0,7 14 0,-26-23 0,23 29 0,-29-9 0,32 17 0,-24-6 0,26 5 0,-13-3 0,16 10 0,2-2 0,0 3 0,8 2 0,-9-6 0,8 5 0,4-3 0,3 2 0,0-5 0,-7-12 0,-5-19 0,-3-1 0,-6-35 0,14 29 0,-2-3 0,20 18 0,0 16 0,5-7 0,0 9 0,-3 5 0,1 8 0,-3 2 0,7 2 0,-6 0 0,15 2 0,-12 1 0,17 1 0,-15 1 0,34-2 0,-18 1 0,10-4 0,-16 2 0,-14-2 0,2 0 0,-7 0 0,-3-2 0,-19-5 0,12 2 0,-16-9 0,11 4 0,-1-6 0,1 3 0,7 0 0,-7 4 0,4-1 0,-7-2 0,8 0 0,4 0 0,2-3 0,1 1 0,-5-4 0,3 7 0,-2 0 0,3 7 0,2 0 0,2 3 0,4 4 0,8 7 0,4-1 0,2 3 0,24 4 0,-14 1 0,11 4 0,-8-1 0,-9 12 0,4-9 0,-4 12 0,-6-14 0,-6-2 0,-2-3 0,-10-10 0,-3-2 0,-5 2 0,-8 10 0,-15 14 0,3-3 0,-5 6 0,13-10 0,-7 9 0,6-6 0,-2 5 0,12-12 0,15-9 0,1-4 0,4-2 0,-5 1 0,-4 0 0,2-1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03:33.425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239 20 24575,'1'-4'0,"4"-2"0,-2 1 0,2 1 0,-4 4 0,14 4 0,-5 6 0,13 2 0,-8 9 0,11 43 0,-14-18 0,5 40 0,-23-18 0,2 1 0,-3-15 0,2-16 0,-3-1 0,0 11 0,0 0 0,0 4 0,-3 42 0,0-4 0,5-25 0,5-28 0,8-15 0,1-5 0,3-15 0,-4-2 0,1 0 0,1-4 0,1-1 0,-1-2 0,-9 5 0,-2 7 0,-23 33 0,-6 11 0,11 2 0,-9 5 0,3-1 0,23-14 0,2-7 0,17-13 0,-8-9 0,10-3 0,-9-2 0,10 14 0,26 31 0,-10 0 0,13 16 0,-26-18 0,-10-23 0,-7-4 0,-7-21 0,-9 6 0,-14 10 0,-29 8 0,2 3 0,-24-7 0,30-8 0,7-9 0,12-2 0,-1-1 0,-5 4 0,7-1 0,1 1 0,18-5 0,4-1 0,0-2 0,5 4 0,-2-2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03:46.726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447 114 24575,'2'-5'0,"2"-7"0,9-5 0,2-10 0,3 5 0,-5 3 0,-5 12 0,-3 3 0,-3 8 0,2-1 0,-2 3 0,24 20 0,-13-8 0,14 27 0,0 9 0,-12 26 0,-6-16 0,-2 10 0,-5-1 0,-17 18 0,-7 0 0,7-22 0,-1 1 0,-3-5 0,-11 7 0,-2-10 0,-14 13 0,19-48 0,3-11 0,6-15 0,-21-2 0,0-7 0,-15-1 0,21-2 0,9 10 0,12 33 0,10-3 0,9 29 0,7-32 0,14-1 0,16-18 0,-18-2 0,19-2 0,-29-1 0,7 7 0,-6 1 0,11 18 0,5 10 0,-4 15 0,1 34 0,-18-16 0,-3 23 0,-11-41 0,-3-9 0,-20-5 0,-2-16 0,-12 4 0,-7 0 0,-1-8 0,-1-3 0,0 3 0,1-1 0,-38 2 0,61-21 0,2 1 0,19-9 0,-8 0 0,-7-9 0,-5-2 0,5 5 0,4 4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03:54.092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0 703 8191,'0'-25'0,"20"-19"0,14-10 804,8 6 1,10-3 0,-1-1-805,-3-2 0,1-1 0,3 0 1009,16-6 1,5 0 0,-10 11-1010,-21 16 0,-3 7 2008,40-4-2008,-60 44 5719,25 61-5719,-34-10 0,-8 10 0,0-3 0,-4 6 0,-4 5 644,-6-4 0,-5 6 1,-2-1-1,1-5-644,1-1 0,-1-4 0,-1-1 0,-4 9 0,-3-1 0,4-16 0,-1-9 0,8-9 0,8-32 0,3-10 0,4 2 637,-2 5-637,-1 23 0,10 9 0,5 16 0,21-11 0,-5-18 0,18-10 0,-17-19 0,11-11 0,-15-6 0,-5-4 0,-13 10 0,-46 56 0,11-10 0,-9 16 0,-1 7 0,-4 29 0,3-10 0,19 16 0,15-71 0,8 28 0,4 5 0,-1-6 0,4 10 0,-2 3 0,-9 16 0,-2-28 0,-4-1 0,-23 33 0,-2-17 0,0-23 0,12-23 0,8-11 0,5-6 0,3-2 0,-7-5 0,1 4 0,-15 4 0,2-3 0,7 5 0,3-6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9T07:30:48.537"/>
    </inkml:context>
    <inkml:brush xml:id="br0">
      <inkml:brushProperty name="width" value="0.035" units="cm"/>
      <inkml:brushProperty name="height" value="0.035" units="cm"/>
      <inkml:brushProperty name="color" value="#CC0066"/>
    </inkml:brush>
  </inkml:definitions>
  <inkml:trace contextRef="#ctx0" brushRef="#br0">3286 3076 24575,'59'3'0,"-1"1"0,22 5 0,3 1 0,2 0 0,3 2-409,-16 2 0,4 3 0,-1-1 409,-3-2 0,-1-1 0,0 1 0,2 1 0,0 1 0,-5-2 0,0 0 0,-1-3 200,31-1 1,-4-3-201,-43-2 0,0-1 0,25 1 0,5 0 101,-2 7 1,-1 2-102,-12-2 0,8 3 0,-5-1 0,12 3 0,7 0 0,2 1 0,-3-1-1129,-7-2 1,-4-1 0,2 0 0,8 0 0,12 0 1128,-22-4 0,9 1 0,7 0 0,7 0 0,4 0 0,3 1 0,2-1 0,-1 0 0,-1 0 0,-3-1 0,-5 0 0,-6-1 0,-7 0 0,14 1 0,-10 0 0,-5-1 0,-3-1 0,3 0 0,6 0 0,10 0 0,-20-3 0,9 1 0,6-1 0,4 1 0,4-1 0,2 0 0,1 0 0,-2 0 0,-2-1 0,-3 0 0,-7 0 0,-6-1 0,-8-1 0,-10 0-406,29 0 1,-17-1 0,-6-1-1,7-1 406,5 0 0,9 0 0,-2 0 0,-8-1 0,-19 0 0,29-2 0,-77-3 0,1 1 0,6-6 4998,54-2-4998,7-6 0,10-2 0,-31 8 0,1 1 0,6-3 528,13-5 0,10-4 1,1-1-1,-5 2-528,8-1 0,-4 0 0,-3 0 0,-5-1 0,-2 0 0,-6 1 0,18-3 0,-18 3 0,-31 1 0,12 1 0,-37 11 0,8-2 0,8-9 775,26-11-775,3-2 0,-4 9 0,-33 13 0,-17 13 0,20-8 0,-16 7 0,15-3 0,-22 5 0,3 0 0,-4 0 0,0 0 0,-10 0 0,-7 0 0,-45-8 0,12 0 0,-8-4 0,-1-1 0,-7-3 0,-5-9 0,36 12 0,6 1 0,9 8 0,-4 2 0,4 2 0,5 0 0,28 3 0,-2 9 0,77 2 0,-51 5 0,21-3 0,2-1 0,-13-1 0,-4-2 0,-1 0 0,-11-6 0,-6-1 0,-36 2 0,-11 2 0,0 1 0,-11 13 0,11-1 0,-10 8 0,14-11 0,3-7 0,6-9 0,1-1 0</inkml:trace>
  <inkml:trace contextRef="#ctx0" brushRef="#br0" timeOffset="1867">13553 3902 24575,'-9'-2'0,"0"-2"0,-7-1 0,0-3 0,-7 0 0,-6 2 0,-14 1 0,7 5 0,-6-3 0,13 7 0,-4 2 0,5 6 0,4-5 0,11 1 0,2 10 0,5-2 0,-11 24 0,-2 20 0,2 19 0,-6 7 0,13-10 0,2-13 0,5-23 0,6 9 0,4-19 0,4-3 0,12 1 0,-6-14 0,17 17 0,-10-20 0,19 13 0,-12-18 0,11 2 0,-12-5 0,12 0 0,-4-3 0,3 0 0,-15 0 0,0 0 0,-10-3 0,11-4 0,-8-2 0,3-3 0,-5-2 0,2 0 0,17-25 0,-3-5 0,-2-2 0,-12-5 0,-19-2 0,-2-4 0,-3 3 0,-4-3 0,-10-28 0,-1 5 0,-3-1 0,-10-3 0,4 18 0,-1 4 0,0 10 0,-7-2 0,22 34 0,4 8 0,4 14 0,-5 1 0,-8 11 0,10-9 0,-4 7 0</inkml:trace>
  <inkml:trace contextRef="#ctx0" brushRef="#br0" timeOffset="5131">13059 4354 24575,'-23'-7'0,"-6"-1"0,-27-5 0,-10-3 0,-14 1 0,31 5 0,-2 1 0,-39 1 0,1-3 0,26 8 0,-10-5 0,36 1 0,-40-8 0,53 10 0,-25-7 0,3 6 0,5-2 0,-52-8 0,28 6 0,-2 3 0,0 1 0,-4 2 0,-5 5 0,-7 2 0,11 3 0,-3 2 0,-2-1 0,-6 0 0,-6 2-486,3 0 1,-6 1-1,-2-1 1,2 0 485,5-1 0,1-2 0,0 1 0,-2 0 0,-10 3 0,-2 1 0,2 0 0,6-2 0,2-2 0,6-1 0,1 1 0,1 2 0,1 1 0,8-1 0,12-1 0,3-1 0,-32 4 0,9-1 0,21 1 0,7-1 0,-4 0 0,3-2 0,1-1 0,-34 10 0,12-6 0,1-2 0,2 0 0,20-1 0,-1 0 0,-35-1 971,33-4 0,-2 1-971,-7-1 0,-3 0 0,-3-1 0,-1 0 0,1 1 0,3 1 0,-31 0 0,22 2 0,55-6 0,3 3 0,10-3 0,-5 0 0,6-2 0,-1-1 0,14-5 0,2-2 0,3 1 0,-4 0 0,1 5 0,-7-1 0,4 3 0,-4-2 0,1 2 0,0 1 0,-2 3 0,0 3 0,-2 1 0,-1-1 0,-1-1 0,6-4 0,0-4 0,3-6 0,4-9 0,1-4 0,0 4 0,2 1 0,-9 13 0,-1 4 0,-9 13 0,4-2 0,-3 3 0,3-5 0,-11 7 0,8-7 0,-6 6 0,10-8 0,8 2 0,19 29 0,-2 8 0,4 25 0,-18-1 0,-26 20 0,-1-21 0,-6-4 0,15-38 0,8-22 0,2-4 0</inkml:trace>
  <inkml:trace contextRef="#ctx0" brushRef="#br0" timeOffset="6918">7448 4057 24575,'0'-4'0,"-2"-2"0,-6-1 0,-3 2 0,-9-2 0,-53-2 0,-25 1 0,27 1 0,-4 0 0,-4 0 0,1 1 0,-6 0 0,0 0 0,5 0 0,-5 0 0,4 1 0,5 1 0,-12 0 0,13 1 0,16 2 0,17-1 0,10 2 0,-9 0 0,6 0 0,-21 0 0,35 0 0,0 2 0,18 9 0,-1 10 0,-3 47 0,1-5 0,6-9 0,4-2 0,12 11 0,27 11 0,-7-45 0,36 12 0,-6-15 0,-1 1 0,-5-2 0,5-4 0,-10-5 0,17 1 0,-10-6 0,-22-7 0,1-1 0,-8-1 0,3-1 0,-8 1 0,-2-2 0,-10-4 0,-6 3 0,2-6 0,6 5 0,-7-1 0,14 1 0,0 2 0,42 3 0,-9-2 0,-5 4 0,1-1 0,6-2 0,17 4 0,-46-8 0,7-1 0,-25-4 0,2 3 0,-8-6 0,-5 4 0,10-15 0,-2-3 0,15-43 0,-11 5 0,-6 11 0,-2-6 0,0-15 0,-3-2 0,-4 7 0,-1 0 0,3 0 0,-2 5 0,-8-6 0,-9 46 0,8 10 0,-10-1 0,7 7 0,-16 0 0,15 6 0,-4 0 0</inkml:trace>
  <inkml:trace contextRef="#ctx0" brushRef="#br0" timeOffset="9134">6015 4201 24575,'0'-5'0,"0"1"0,-29-1 0,2 3 0,-36-3 0,4 1 0,-11 1 0,-24 3 0,3 4 0,19-1 0,-12-1 0,-3 3-937,-7 2 0,-4 2 1,-8 1 936,30-3 0,-4 1 0,-4 1 0,-2 0 0,-1 0 0,1 0 0,-5 0 0,-3 1 0,0 0 0,1 0 0,2 1 0,3-1 0,3 1 0,2 0 0,3 0 0,0 0 0,-1-2 0,-5 0 0,-3-1 0,1-1 0,7-1 0,15 0 0,2 0 0,6-2 0,-38 2 0,8 0 0,32 1 0,-23 2 0,-8 2 0,29-2 0,1 0 0,-15 3 0,3-2 0,-12 3 2810,55-10-2810,19-5 0,7-2 0,3-1 0,1 3 0,0-2 0,9 2 0,3-5 0,17-1 0,6-5 0,-10 4 0,24-3 0,-28 9 0,36-13 0,-24 4 0,7-10 0,-15 1 0,0-6 0,-15 10 0,7-4 0,-20 16 0,0 1 0,-8 6 0,0 5 0,-7 7 0,-3 3 0,-29 22 0,4-15 0,-12 12 0,22-23 0,21-1 0,13-5 0,33 25 0,14 5 0,11 4 0,2 5 0,1 0 0,15-1 0,9-8 0,-32-16 0,-10-14 0,-34-6 0,-7-2 0,-4 3 0,2-2 0</inkml:trace>
  <inkml:trace contextRef="#ctx0" brushRef="#br0" timeOffset="9901">1691 4102 24575,'-29'20'0,"-5"7"0,-13 7 0,-8 0 0,-17 8 0,-10 4 0,-4 2 0,1 0 0,8-4-1367,3 0 0,5-2 0,1-1 1,-3 2-1,-4 0 1367,-7 3 0,-8 3 0,-2 0 0,2 0 0,6-5 0,12-5 659,-4 4 0,11-6 0,12-9-659,-2-4 273,52-32 1,1 5 0,-1-7-1</inkml:trace>
  <inkml:trace contextRef="#ctx0" brushRef="#br0" timeOffset="10351">254 4179 24575,'49'78'0,"1"-1"0,0 1 0,-1 0 0,1-1 0,0 1 0,-1 0 0,1-1 0,-1 1 0,1 0 0,4 7 0,-1-1 0,-1-2 0,0 0 0,-1 0 0,0 0 0,-1 0 0,-1 1-720,0 1 1,-1 2 0,0 1-1,-1-1 1,-1 0 0,-1-3-1,-1-3 1,-3-4 719,10 16 0,-2-4 0,-3-4 0,-2-6 0,-4-8 570,1 0 1,-4-9 0,-3-8-571,3 1 0,-13-26 232,-22-39 0,-2-1 0,0-1 1</inkml:trace>
  <inkml:trace contextRef="#ctx0" brushRef="#br0" timeOffset="12867">248 2950 24575,'24'3'0,"16"7"0,12 8 0,12 15 0,2 5 0,0 4 0,-8 0 0,-9-3 0,-30-17 0,-8-4 0,-9-19 0,2-9 0,28-36 0,18-14 0,-7 14 0,5-2 0,8-9-772,-7 7 0,6-7 0,5-6 0,4-3 0,2-2 1,0 0-1,-1 1 772,-1 2 0,0 1 0,2-2 0,0-1 0,2 0 0,1-2 0,2-1 0,2-2-454,-8 7 0,2-2 0,3-1 0,1-2 0,1-1 0,1 0 0,-1 0 0,-1 1 0,-1 1 0,-2 2 0,-2 3 454,7-8 0,-2 1 0,-1 2 0,-1 1 0,-2 1 0,0 1 0,-1 1 0,1 0 0,5-6 0,2-2 0,0 1 0,-1 2 0,-5 4 0,-6 6 0,-9 10 0,26-23 0,-15 15 0,-16 11 0,-16 17 0,-28 29 0,-4 5 0,0-2 0,0 0 0</inkml:trace>
</inkml: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iraj Ahmad" refreshedDate="46212.883135300923" createdVersion="8" refreshedVersion="8" minRefreshableVersion="3" recordCount="3" xr:uid="{B6325177-8921-5B4B-80E8-C67A2A25AE2D}">
  <cacheSource type="worksheet">
    <worksheetSource ref="B11:D14" sheet="08"/>
  </cacheSource>
  <cacheFields count="3">
    <cacheField name="Employee Name" numFmtId="0">
      <sharedItems/>
    </cacheField>
    <cacheField name="Salary" numFmtId="0">
      <sharedItems containsSemiMixedTypes="0" containsString="0" containsNumber="1" containsInteger="1" minValue="45000" maxValue="60000"/>
    </cacheField>
    <cacheField name="Dept" numFmtId="0">
      <sharedItems containsSemiMixedTypes="0" containsString="0" containsNumber="1" containsInteger="1" minValue="1" maxValue="2" count="2">
        <n v="1"/>
        <n v="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s v="Siraj"/>
    <n v="45000"/>
    <x v="0"/>
  </r>
  <r>
    <s v="Rahul"/>
    <n v="60000"/>
    <x v="0"/>
  </r>
  <r>
    <s v="Mohan"/>
    <n v="5500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0007CD-6516-1642-A970-EC31756EBE2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11:L14" firstHeaderRow="1" firstDataRow="1" firstDataCol="1"/>
  <pivotFields count="3">
    <pivotField showAll="0"/>
    <pivotField dataField="1" showAll="0"/>
    <pivotField axis="axisRow" showAll="0">
      <items count="3">
        <item x="0"/>
        <item x="1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Salary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5C81F2-16C4-AA43-AAFC-971767DED54C}" name="Table1" displayName="Table1" ref="C6:C13" totalsRowShown="0">
  <autoFilter ref="C6:C13" xr:uid="{B75C81F2-16C4-AA43-AAFC-971767DED54C}"/>
  <tableColumns count="1">
    <tableColumn id="1" xr3:uid="{1BCB39CC-0060-EC4E-A86A-9DF4B948F471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siraj.ahmad@gmail.com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1575B-4A32-EF4D-B49F-B91864941238}">
  <dimension ref="D2:G33"/>
  <sheetViews>
    <sheetView topLeftCell="A24" zoomScale="200" zoomScaleNormal="200" workbookViewId="0">
      <selection activeCell="B44" sqref="B44"/>
    </sheetView>
  </sheetViews>
  <sheetFormatPr baseColWidth="10" defaultRowHeight="16" x14ac:dyDescent="0.2"/>
  <sheetData>
    <row r="2" spans="7:7" x14ac:dyDescent="0.2">
      <c r="G2" t="s">
        <v>0</v>
      </c>
    </row>
    <row r="24" spans="4:7" x14ac:dyDescent="0.2">
      <c r="D24" t="s">
        <v>0</v>
      </c>
    </row>
    <row r="26" spans="4:7" x14ac:dyDescent="0.2">
      <c r="D26" t="s">
        <v>1</v>
      </c>
    </row>
    <row r="27" spans="4:7" x14ac:dyDescent="0.2">
      <c r="E27" t="s">
        <v>2</v>
      </c>
      <c r="G27" t="s">
        <v>3</v>
      </c>
    </row>
    <row r="28" spans="4:7" x14ac:dyDescent="0.2">
      <c r="F28" t="s">
        <v>4</v>
      </c>
    </row>
    <row r="29" spans="4:7" x14ac:dyDescent="0.2">
      <c r="F29" t="s">
        <v>5</v>
      </c>
    </row>
    <row r="30" spans="4:7" x14ac:dyDescent="0.2">
      <c r="F30" t="s">
        <v>6</v>
      </c>
    </row>
    <row r="31" spans="4:7" x14ac:dyDescent="0.2">
      <c r="F31" t="s">
        <v>7</v>
      </c>
    </row>
    <row r="32" spans="4:7" x14ac:dyDescent="0.2">
      <c r="F32" t="s">
        <v>8</v>
      </c>
    </row>
    <row r="33" spans="6:6" x14ac:dyDescent="0.2">
      <c r="F33" t="s">
        <v>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C9B5-2C8E-9C46-8123-8AB108F2818D}">
  <dimension ref="B2:N25"/>
  <sheetViews>
    <sheetView topLeftCell="A17" zoomScale="200" zoomScaleNormal="200" workbookViewId="0">
      <selection activeCell="E19" sqref="E19"/>
    </sheetView>
  </sheetViews>
  <sheetFormatPr baseColWidth="10" defaultRowHeight="16" x14ac:dyDescent="0.2"/>
  <cols>
    <col min="3" max="3" width="20.33203125" customWidth="1"/>
    <col min="5" max="5" width="14.5" bestFit="1" customWidth="1"/>
  </cols>
  <sheetData>
    <row r="2" spans="2:14" x14ac:dyDescent="0.2">
      <c r="B2" t="s">
        <v>10</v>
      </c>
    </row>
    <row r="3" spans="2:14" x14ac:dyDescent="0.2">
      <c r="E3" t="s">
        <v>14</v>
      </c>
    </row>
    <row r="4" spans="2:14" x14ac:dyDescent="0.2">
      <c r="B4" t="s">
        <v>11</v>
      </c>
    </row>
    <row r="5" spans="2:14" x14ac:dyDescent="0.2">
      <c r="E5" t="s">
        <v>15</v>
      </c>
      <c r="G5" t="s">
        <v>20</v>
      </c>
    </row>
    <row r="6" spans="2:14" x14ac:dyDescent="0.2">
      <c r="C6" t="s">
        <v>13</v>
      </c>
      <c r="E6" t="s">
        <v>16</v>
      </c>
      <c r="F6" t="s">
        <v>18</v>
      </c>
      <c r="G6" t="s">
        <v>21</v>
      </c>
    </row>
    <row r="7" spans="2:14" x14ac:dyDescent="0.2">
      <c r="C7">
        <v>123</v>
      </c>
      <c r="E7" t="s">
        <v>17</v>
      </c>
      <c r="F7" t="s">
        <v>19</v>
      </c>
      <c r="G7" t="s">
        <v>22</v>
      </c>
    </row>
    <row r="8" spans="2:14" x14ac:dyDescent="0.2">
      <c r="C8" t="s">
        <v>12</v>
      </c>
    </row>
    <row r="10" spans="2:14" x14ac:dyDescent="0.2">
      <c r="E10" t="s">
        <v>23</v>
      </c>
    </row>
    <row r="11" spans="2:14" x14ac:dyDescent="0.2">
      <c r="N11" t="s">
        <v>34</v>
      </c>
    </row>
    <row r="12" spans="2:14" x14ac:dyDescent="0.2">
      <c r="E12" t="s">
        <v>24</v>
      </c>
      <c r="F12" s="1" t="s">
        <v>27</v>
      </c>
      <c r="G12" s="2" t="s">
        <v>28</v>
      </c>
      <c r="H12" s="2" t="s">
        <v>29</v>
      </c>
      <c r="I12" s="2" t="s">
        <v>30</v>
      </c>
      <c r="J12" s="2" t="s">
        <v>31</v>
      </c>
      <c r="K12" s="2" t="s">
        <v>33</v>
      </c>
      <c r="L12" s="3" t="s">
        <v>33</v>
      </c>
      <c r="M12">
        <v>7</v>
      </c>
      <c r="N12" t="s">
        <v>36</v>
      </c>
    </row>
    <row r="13" spans="2:14" x14ac:dyDescent="0.2">
      <c r="E13" t="s">
        <v>25</v>
      </c>
      <c r="F13" t="s">
        <v>27</v>
      </c>
      <c r="G13" t="s">
        <v>28</v>
      </c>
      <c r="H13" t="s">
        <v>29</v>
      </c>
      <c r="I13" t="s">
        <v>30</v>
      </c>
      <c r="J13" t="s">
        <v>31</v>
      </c>
      <c r="M13">
        <v>7</v>
      </c>
      <c r="N13" t="s">
        <v>35</v>
      </c>
    </row>
    <row r="14" spans="2:14" x14ac:dyDescent="0.2">
      <c r="E14" t="s">
        <v>26</v>
      </c>
      <c r="M14" t="s">
        <v>32</v>
      </c>
    </row>
    <row r="16" spans="2:14" x14ac:dyDescent="0.2">
      <c r="E16" t="s">
        <v>37</v>
      </c>
    </row>
    <row r="18" spans="3:7" x14ac:dyDescent="0.2">
      <c r="E18" s="4" t="s">
        <v>38</v>
      </c>
      <c r="G18">
        <v>111</v>
      </c>
    </row>
    <row r="20" spans="3:7" x14ac:dyDescent="0.2">
      <c r="C20" s="5">
        <f ca="1">NOW()</f>
        <v>46222.907442592594</v>
      </c>
    </row>
    <row r="21" spans="3:7" x14ac:dyDescent="0.2">
      <c r="E21" t="s">
        <v>39</v>
      </c>
    </row>
    <row r="22" spans="3:7" x14ac:dyDescent="0.2">
      <c r="E22" t="s">
        <v>40</v>
      </c>
    </row>
    <row r="23" spans="3:7" x14ac:dyDescent="0.2">
      <c r="E23" t="s">
        <v>41</v>
      </c>
    </row>
    <row r="24" spans="3:7" x14ac:dyDescent="0.2">
      <c r="E24" t="s">
        <v>42</v>
      </c>
    </row>
    <row r="25" spans="3:7" x14ac:dyDescent="0.2">
      <c r="E25" t="s">
        <v>43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501E-B810-AE4F-88C4-7F4CA8CAF68B}">
  <dimension ref="B2:L105"/>
  <sheetViews>
    <sheetView topLeftCell="A85" zoomScale="200" zoomScaleNormal="200" workbookViewId="0">
      <selection activeCell="B102" sqref="B102"/>
    </sheetView>
  </sheetViews>
  <sheetFormatPr baseColWidth="10" defaultRowHeight="16" x14ac:dyDescent="0.2"/>
  <cols>
    <col min="2" max="2" width="22.33203125" bestFit="1" customWidth="1"/>
    <col min="4" max="4" width="13.83203125" bestFit="1" customWidth="1"/>
    <col min="8" max="8" width="25.5" bestFit="1" customWidth="1"/>
  </cols>
  <sheetData>
    <row r="2" spans="2:8" x14ac:dyDescent="0.2">
      <c r="B2" t="s">
        <v>44</v>
      </c>
      <c r="C2" t="s">
        <v>50</v>
      </c>
      <c r="D2" t="s">
        <v>45</v>
      </c>
      <c r="F2" t="s">
        <v>44</v>
      </c>
      <c r="G2" t="s">
        <v>51</v>
      </c>
      <c r="H2" t="s">
        <v>45</v>
      </c>
    </row>
    <row r="3" spans="2:8" x14ac:dyDescent="0.2">
      <c r="B3">
        <v>1</v>
      </c>
      <c r="C3" t="s">
        <v>47</v>
      </c>
      <c r="D3" t="s">
        <v>46</v>
      </c>
      <c r="F3">
        <v>1</v>
      </c>
      <c r="G3" t="s">
        <v>47</v>
      </c>
      <c r="H3">
        <v>1</v>
      </c>
    </row>
    <row r="4" spans="2:8" x14ac:dyDescent="0.2">
      <c r="B4" t="s">
        <v>48</v>
      </c>
      <c r="C4">
        <v>1</v>
      </c>
      <c r="F4">
        <v>1</v>
      </c>
      <c r="G4">
        <v>1</v>
      </c>
      <c r="H4" t="s">
        <v>47</v>
      </c>
    </row>
    <row r="5" spans="2:8" x14ac:dyDescent="0.2">
      <c r="B5">
        <v>2</v>
      </c>
      <c r="C5">
        <v>2</v>
      </c>
    </row>
    <row r="6" spans="2:8" x14ac:dyDescent="0.2">
      <c r="B6">
        <v>3</v>
      </c>
      <c r="C6">
        <v>3</v>
      </c>
    </row>
    <row r="7" spans="2:8" x14ac:dyDescent="0.2">
      <c r="B7">
        <v>4</v>
      </c>
      <c r="C7">
        <v>4</v>
      </c>
    </row>
    <row r="8" spans="2:8" x14ac:dyDescent="0.2">
      <c r="B8">
        <v>5</v>
      </c>
      <c r="C8" t="s">
        <v>47</v>
      </c>
      <c r="D8">
        <v>5</v>
      </c>
    </row>
    <row r="9" spans="2:8" x14ac:dyDescent="0.2">
      <c r="B9" t="s">
        <v>48</v>
      </c>
      <c r="C9">
        <v>5</v>
      </c>
    </row>
    <row r="10" spans="2:8" x14ac:dyDescent="0.2">
      <c r="C10">
        <v>6</v>
      </c>
    </row>
    <row r="11" spans="2:8" x14ac:dyDescent="0.2">
      <c r="C11">
        <v>7</v>
      </c>
    </row>
    <row r="12" spans="2:8" x14ac:dyDescent="0.2">
      <c r="C12" t="s">
        <v>47</v>
      </c>
      <c r="D12">
        <v>8</v>
      </c>
    </row>
    <row r="13" spans="2:8" x14ac:dyDescent="0.2">
      <c r="C13" t="s">
        <v>47</v>
      </c>
      <c r="D13">
        <v>9</v>
      </c>
    </row>
    <row r="14" spans="2:8" x14ac:dyDescent="0.2">
      <c r="B14" t="s">
        <v>49</v>
      </c>
      <c r="C14">
        <v>8</v>
      </c>
    </row>
    <row r="15" spans="2:8" x14ac:dyDescent="0.2">
      <c r="B15" t="s">
        <v>49</v>
      </c>
      <c r="C15">
        <v>9</v>
      </c>
    </row>
    <row r="24" spans="2:12" x14ac:dyDescent="0.2">
      <c r="H24" t="s">
        <v>56</v>
      </c>
    </row>
    <row r="25" spans="2:12" x14ac:dyDescent="0.2">
      <c r="B25" s="6"/>
      <c r="C25" s="6"/>
      <c r="D25" s="6"/>
      <c r="E25" s="6"/>
      <c r="F25" s="6"/>
      <c r="H25" t="s">
        <v>52</v>
      </c>
      <c r="J25" s="7"/>
    </row>
    <row r="26" spans="2:12" x14ac:dyDescent="0.2">
      <c r="B26" s="6"/>
      <c r="C26" s="6"/>
      <c r="D26" s="6"/>
      <c r="E26" s="6"/>
      <c r="F26" s="6"/>
      <c r="H26" t="s">
        <v>53</v>
      </c>
      <c r="J26" s="7"/>
      <c r="L26" t="s">
        <v>55</v>
      </c>
    </row>
    <row r="27" spans="2:12" x14ac:dyDescent="0.2">
      <c r="B27" s="6"/>
      <c r="C27" s="6"/>
      <c r="D27" s="6"/>
      <c r="E27" s="6"/>
      <c r="F27" s="6"/>
      <c r="H27" t="s">
        <v>54</v>
      </c>
    </row>
    <row r="28" spans="2:12" x14ac:dyDescent="0.2">
      <c r="B28" s="6"/>
      <c r="C28" s="6"/>
      <c r="D28" s="6"/>
      <c r="E28" s="6"/>
      <c r="F28" s="6"/>
      <c r="H28" t="s">
        <v>55</v>
      </c>
      <c r="J28" s="8"/>
    </row>
    <row r="29" spans="2:12" x14ac:dyDescent="0.2">
      <c r="B29" s="6"/>
      <c r="C29" s="6"/>
      <c r="D29" s="6"/>
      <c r="E29" s="6"/>
      <c r="F29" s="6"/>
      <c r="H29" t="s">
        <v>55</v>
      </c>
      <c r="J29" s="8"/>
      <c r="L29" t="s">
        <v>55</v>
      </c>
    </row>
    <row r="30" spans="2:12" x14ac:dyDescent="0.2">
      <c r="B30" s="6"/>
      <c r="C30" s="6"/>
      <c r="D30" s="6"/>
      <c r="E30" s="6"/>
      <c r="F30" s="6"/>
    </row>
    <row r="31" spans="2:12" x14ac:dyDescent="0.2">
      <c r="B31" s="6"/>
      <c r="C31" s="6"/>
      <c r="D31" s="6"/>
      <c r="E31" s="6"/>
      <c r="F31" s="6"/>
    </row>
    <row r="32" spans="2:12" x14ac:dyDescent="0.2">
      <c r="B32" s="6"/>
      <c r="C32" s="6"/>
      <c r="D32" s="6"/>
      <c r="E32" s="6"/>
      <c r="F32" s="6"/>
    </row>
    <row r="33" spans="2:10" x14ac:dyDescent="0.2">
      <c r="B33" s="6"/>
      <c r="C33" s="6"/>
      <c r="D33" s="6"/>
      <c r="E33" s="6"/>
      <c r="F33" s="6"/>
    </row>
    <row r="34" spans="2:10" x14ac:dyDescent="0.2">
      <c r="B34" s="6"/>
      <c r="C34" s="6"/>
      <c r="D34" s="6"/>
      <c r="E34" s="6"/>
      <c r="F34" s="6"/>
    </row>
    <row r="35" spans="2:10" x14ac:dyDescent="0.2">
      <c r="B35" s="6"/>
      <c r="C35" s="6"/>
      <c r="D35" s="6"/>
      <c r="E35" s="6"/>
      <c r="F35" s="6"/>
    </row>
    <row r="36" spans="2:10" x14ac:dyDescent="0.2">
      <c r="B36" s="6"/>
      <c r="C36" s="6"/>
      <c r="D36" s="6"/>
      <c r="E36" s="6"/>
      <c r="F36" s="6"/>
      <c r="H36" t="s">
        <v>58</v>
      </c>
      <c r="J36" t="s">
        <v>57</v>
      </c>
    </row>
    <row r="37" spans="2:10" x14ac:dyDescent="0.2">
      <c r="B37" s="6"/>
      <c r="C37" s="6"/>
      <c r="D37" s="6"/>
      <c r="E37" s="6"/>
      <c r="F37" s="6"/>
      <c r="J37" t="s">
        <v>59</v>
      </c>
    </row>
    <row r="38" spans="2:10" x14ac:dyDescent="0.2">
      <c r="B38" s="6"/>
      <c r="C38" s="6"/>
      <c r="D38" s="6"/>
      <c r="E38" s="6"/>
      <c r="F38" s="6"/>
    </row>
    <row r="39" spans="2:10" x14ac:dyDescent="0.2">
      <c r="B39" s="6"/>
      <c r="C39" s="6"/>
      <c r="D39" s="6"/>
      <c r="E39" s="6"/>
      <c r="F39" s="6"/>
    </row>
    <row r="42" spans="2:10" x14ac:dyDescent="0.2">
      <c r="B42" t="s">
        <v>60</v>
      </c>
      <c r="G42" t="s">
        <v>64</v>
      </c>
    </row>
    <row r="44" spans="2:10" x14ac:dyDescent="0.2">
      <c r="B44" t="s">
        <v>61</v>
      </c>
      <c r="C44" t="s">
        <v>62</v>
      </c>
      <c r="D44" t="s">
        <v>63</v>
      </c>
      <c r="G44" t="s">
        <v>65</v>
      </c>
      <c r="H44" t="s">
        <v>61</v>
      </c>
      <c r="I44" t="s">
        <v>66</v>
      </c>
    </row>
    <row r="45" spans="2:10" x14ac:dyDescent="0.2">
      <c r="B45" t="s">
        <v>67</v>
      </c>
      <c r="G45" t="s">
        <v>67</v>
      </c>
      <c r="H45" t="s">
        <v>68</v>
      </c>
    </row>
    <row r="48" spans="2:10" x14ac:dyDescent="0.2">
      <c r="H48">
        <v>1</v>
      </c>
    </row>
    <row r="49" spans="2:9" x14ac:dyDescent="0.2">
      <c r="B49">
        <v>1</v>
      </c>
    </row>
    <row r="52" spans="2:9" x14ac:dyDescent="0.2">
      <c r="G52" t="s">
        <v>69</v>
      </c>
    </row>
    <row r="54" spans="2:9" x14ac:dyDescent="0.2">
      <c r="G54" t="s">
        <v>65</v>
      </c>
      <c r="H54" t="s">
        <v>61</v>
      </c>
      <c r="I54" t="s">
        <v>66</v>
      </c>
    </row>
    <row r="55" spans="2:9" x14ac:dyDescent="0.2">
      <c r="G55" t="s">
        <v>67</v>
      </c>
      <c r="H55" t="s">
        <v>68</v>
      </c>
    </row>
    <row r="56" spans="2:9" x14ac:dyDescent="0.2">
      <c r="H56">
        <v>1</v>
      </c>
    </row>
    <row r="57" spans="2:9" x14ac:dyDescent="0.2">
      <c r="H57">
        <v>1</v>
      </c>
    </row>
    <row r="58" spans="2:9" x14ac:dyDescent="0.2">
      <c r="B58" t="s">
        <v>70</v>
      </c>
    </row>
    <row r="59" spans="2:9" x14ac:dyDescent="0.2">
      <c r="B59" t="s">
        <v>71</v>
      </c>
      <c r="C59" t="s">
        <v>72</v>
      </c>
    </row>
    <row r="60" spans="2:9" x14ac:dyDescent="0.2">
      <c r="B60" t="s">
        <v>55</v>
      </c>
      <c r="C60">
        <v>1</v>
      </c>
    </row>
    <row r="61" spans="2:9" x14ac:dyDescent="0.2">
      <c r="B61" t="s">
        <v>55</v>
      </c>
      <c r="C61">
        <v>1</v>
      </c>
    </row>
    <row r="64" spans="2:9" x14ac:dyDescent="0.2">
      <c r="B64" t="s">
        <v>73</v>
      </c>
      <c r="F64" t="s">
        <v>61</v>
      </c>
    </row>
    <row r="65" spans="2:10" x14ac:dyDescent="0.2">
      <c r="B65" t="s">
        <v>67</v>
      </c>
      <c r="F65" t="s">
        <v>68</v>
      </c>
    </row>
    <row r="66" spans="2:10" x14ac:dyDescent="0.2">
      <c r="B66" t="s">
        <v>16</v>
      </c>
      <c r="C66">
        <v>1</v>
      </c>
      <c r="F66" t="s">
        <v>16</v>
      </c>
    </row>
    <row r="67" spans="2:10" x14ac:dyDescent="0.2">
      <c r="B67" t="s">
        <v>74</v>
      </c>
      <c r="C67" t="s">
        <v>75</v>
      </c>
    </row>
    <row r="70" spans="2:10" x14ac:dyDescent="0.2">
      <c r="B70" t="s">
        <v>76</v>
      </c>
      <c r="E70" t="s">
        <v>79</v>
      </c>
    </row>
    <row r="71" spans="2:10" x14ac:dyDescent="0.2">
      <c r="B71" t="s">
        <v>77</v>
      </c>
      <c r="C71" t="s">
        <v>78</v>
      </c>
      <c r="E71" t="s">
        <v>80</v>
      </c>
      <c r="F71" t="s">
        <v>81</v>
      </c>
      <c r="G71" t="s">
        <v>77</v>
      </c>
      <c r="I71" t="s">
        <v>82</v>
      </c>
      <c r="J71" t="s">
        <v>83</v>
      </c>
    </row>
    <row r="72" spans="2:10" x14ac:dyDescent="0.2">
      <c r="B72" t="s">
        <v>67</v>
      </c>
      <c r="E72" t="s">
        <v>67</v>
      </c>
      <c r="G72" t="s">
        <v>68</v>
      </c>
      <c r="I72" t="s">
        <v>84</v>
      </c>
      <c r="J72" t="s">
        <v>79</v>
      </c>
    </row>
    <row r="73" spans="2:10" x14ac:dyDescent="0.2">
      <c r="B73">
        <v>1</v>
      </c>
      <c r="E73">
        <v>1</v>
      </c>
      <c r="G73">
        <v>1</v>
      </c>
    </row>
    <row r="74" spans="2:10" x14ac:dyDescent="0.2">
      <c r="B74">
        <v>2</v>
      </c>
      <c r="E74">
        <v>2</v>
      </c>
      <c r="G74">
        <v>2</v>
      </c>
    </row>
    <row r="75" spans="2:10" x14ac:dyDescent="0.2">
      <c r="B75">
        <v>3</v>
      </c>
      <c r="E75">
        <v>3</v>
      </c>
      <c r="G75">
        <v>2</v>
      </c>
    </row>
    <row r="76" spans="2:10" x14ac:dyDescent="0.2">
      <c r="E76">
        <v>4</v>
      </c>
      <c r="G76">
        <v>3</v>
      </c>
      <c r="I76" t="s">
        <v>85</v>
      </c>
    </row>
    <row r="81" spans="2:9" x14ac:dyDescent="0.2">
      <c r="B81" t="s">
        <v>86</v>
      </c>
    </row>
    <row r="84" spans="2:9" x14ac:dyDescent="0.2">
      <c r="B84" t="s">
        <v>87</v>
      </c>
      <c r="C84" t="s">
        <v>88</v>
      </c>
    </row>
    <row r="88" spans="2:9" x14ac:dyDescent="0.2">
      <c r="G88" t="s">
        <v>67</v>
      </c>
    </row>
    <row r="89" spans="2:9" x14ac:dyDescent="0.2">
      <c r="B89" t="s">
        <v>89</v>
      </c>
      <c r="D89" t="s">
        <v>91</v>
      </c>
      <c r="E89" t="s">
        <v>92</v>
      </c>
      <c r="F89" t="s">
        <v>93</v>
      </c>
      <c r="H89" t="s">
        <v>94</v>
      </c>
      <c r="I89" t="s">
        <v>95</v>
      </c>
    </row>
    <row r="90" spans="2:9" x14ac:dyDescent="0.2">
      <c r="G90" t="s">
        <v>68</v>
      </c>
    </row>
    <row r="92" spans="2:9" x14ac:dyDescent="0.2">
      <c r="G92" t="s">
        <v>67</v>
      </c>
    </row>
    <row r="93" spans="2:9" x14ac:dyDescent="0.2">
      <c r="F93" t="s">
        <v>93</v>
      </c>
      <c r="H93" t="s">
        <v>96</v>
      </c>
      <c r="I93" t="s">
        <v>97</v>
      </c>
    </row>
    <row r="94" spans="2:9" x14ac:dyDescent="0.2">
      <c r="G94" t="s">
        <v>68</v>
      </c>
    </row>
    <row r="96" spans="2:9" x14ac:dyDescent="0.2">
      <c r="G96" t="s">
        <v>67</v>
      </c>
    </row>
    <row r="97" spans="2:11" x14ac:dyDescent="0.2">
      <c r="F97" t="s">
        <v>98</v>
      </c>
      <c r="H97" t="s">
        <v>99</v>
      </c>
      <c r="I97" t="s">
        <v>100</v>
      </c>
    </row>
    <row r="98" spans="2:11" x14ac:dyDescent="0.2">
      <c r="G98" t="s">
        <v>68</v>
      </c>
    </row>
    <row r="102" spans="2:11" x14ac:dyDescent="0.2">
      <c r="B102" t="s">
        <v>90</v>
      </c>
      <c r="I102" s="58" t="s">
        <v>101</v>
      </c>
      <c r="J102" s="58"/>
      <c r="K102" s="58"/>
    </row>
    <row r="103" spans="2:11" x14ac:dyDescent="0.2">
      <c r="B103" t="s">
        <v>102</v>
      </c>
      <c r="I103" s="58"/>
      <c r="J103" s="58"/>
      <c r="K103" s="58"/>
    </row>
    <row r="104" spans="2:11" x14ac:dyDescent="0.2">
      <c r="I104" s="58"/>
      <c r="J104" s="58"/>
      <c r="K104" s="58"/>
    </row>
    <row r="105" spans="2:11" x14ac:dyDescent="0.2">
      <c r="I105" s="58"/>
      <c r="J105" s="58"/>
      <c r="K105" s="58"/>
    </row>
  </sheetData>
  <mergeCells count="1">
    <mergeCell ref="I102:K10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172D2-80C2-1542-89AB-245B6BCA7E13}">
  <dimension ref="B2:O58"/>
  <sheetViews>
    <sheetView topLeftCell="C44" zoomScale="200" zoomScaleNormal="200" workbookViewId="0">
      <selection activeCell="D48" sqref="D48"/>
    </sheetView>
  </sheetViews>
  <sheetFormatPr baseColWidth="10" defaultRowHeight="16" x14ac:dyDescent="0.2"/>
  <cols>
    <col min="1" max="1" width="4.33203125" customWidth="1"/>
    <col min="2" max="2" width="17.1640625" bestFit="1" customWidth="1"/>
    <col min="3" max="3" width="32.5" bestFit="1" customWidth="1"/>
    <col min="6" max="6" width="41.33203125" bestFit="1" customWidth="1"/>
    <col min="7" max="7" width="17.6640625" bestFit="1" customWidth="1"/>
    <col min="8" max="8" width="12" bestFit="1" customWidth="1"/>
  </cols>
  <sheetData>
    <row r="2" spans="2:15" x14ac:dyDescent="0.2">
      <c r="B2" t="s">
        <v>103</v>
      </c>
    </row>
    <row r="4" spans="2:15" x14ac:dyDescent="0.2">
      <c r="C4" t="s">
        <v>104</v>
      </c>
    </row>
    <row r="5" spans="2:15" x14ac:dyDescent="0.2">
      <c r="D5" t="s">
        <v>105</v>
      </c>
      <c r="E5" t="s">
        <v>106</v>
      </c>
      <c r="F5" t="s">
        <v>107</v>
      </c>
    </row>
    <row r="6" spans="2:15" ht="17" thickBot="1" x14ac:dyDescent="0.25"/>
    <row r="7" spans="2:15" x14ac:dyDescent="0.2">
      <c r="B7" t="s">
        <v>108</v>
      </c>
      <c r="D7" s="10"/>
      <c r="E7" s="11"/>
      <c r="F7" s="11"/>
      <c r="G7" s="11"/>
      <c r="H7" s="11"/>
      <c r="I7" s="11"/>
      <c r="J7" s="11"/>
      <c r="K7" s="11"/>
      <c r="L7" s="12"/>
      <c r="N7" t="s">
        <v>109</v>
      </c>
    </row>
    <row r="8" spans="2:15" x14ac:dyDescent="0.2">
      <c r="D8" s="13"/>
      <c r="E8" s="8"/>
      <c r="F8" s="8"/>
      <c r="G8" s="8"/>
      <c r="H8" s="8"/>
      <c r="I8" s="8"/>
      <c r="J8" s="8"/>
      <c r="K8" s="8"/>
      <c r="L8" s="14"/>
    </row>
    <row r="9" spans="2:15" x14ac:dyDescent="0.2">
      <c r="B9" t="s">
        <v>110</v>
      </c>
      <c r="D9" s="13"/>
      <c r="E9" s="8"/>
      <c r="F9" s="8"/>
      <c r="G9" s="8"/>
      <c r="H9" s="8"/>
      <c r="I9" s="8"/>
      <c r="J9" s="8"/>
      <c r="K9" s="8"/>
      <c r="L9" s="14"/>
      <c r="N9" t="s">
        <v>110</v>
      </c>
      <c r="O9" t="s">
        <v>10</v>
      </c>
    </row>
    <row r="10" spans="2:15" x14ac:dyDescent="0.2">
      <c r="D10" s="13"/>
      <c r="E10" s="8"/>
      <c r="F10" s="8"/>
      <c r="G10" s="8"/>
      <c r="H10" s="8"/>
      <c r="I10" s="8"/>
      <c r="J10" s="8"/>
      <c r="K10" s="8"/>
      <c r="L10" s="14"/>
    </row>
    <row r="11" spans="2:15" x14ac:dyDescent="0.2">
      <c r="B11" t="s">
        <v>111</v>
      </c>
      <c r="D11" s="13"/>
      <c r="E11" s="8"/>
      <c r="F11" s="8"/>
      <c r="G11" s="8"/>
      <c r="H11" s="8"/>
      <c r="I11" s="8"/>
      <c r="J11" s="8"/>
      <c r="K11" s="8"/>
      <c r="L11" s="14"/>
      <c r="N11" s="58" t="s">
        <v>114</v>
      </c>
      <c r="O11" t="s">
        <v>115</v>
      </c>
    </row>
    <row r="12" spans="2:15" x14ac:dyDescent="0.2">
      <c r="B12" t="s">
        <v>112</v>
      </c>
      <c r="D12" s="13"/>
      <c r="E12" s="8"/>
      <c r="F12" s="8"/>
      <c r="G12" s="8"/>
      <c r="H12" s="8"/>
      <c r="I12" s="8"/>
      <c r="J12" s="8"/>
      <c r="K12" s="8"/>
      <c r="L12" s="14"/>
      <c r="N12" s="58"/>
      <c r="O12" t="s">
        <v>116</v>
      </c>
    </row>
    <row r="13" spans="2:15" x14ac:dyDescent="0.2">
      <c r="B13" t="s">
        <v>113</v>
      </c>
      <c r="D13" s="13"/>
      <c r="E13" s="8"/>
      <c r="F13" s="8"/>
      <c r="G13" s="8"/>
      <c r="H13" s="8"/>
      <c r="I13" s="8"/>
      <c r="J13" s="8"/>
      <c r="K13" s="8"/>
      <c r="L13" s="14"/>
      <c r="N13" s="58"/>
      <c r="O13" t="s">
        <v>117</v>
      </c>
    </row>
    <row r="14" spans="2:15" x14ac:dyDescent="0.2">
      <c r="D14" s="13"/>
      <c r="E14" s="8"/>
      <c r="F14" s="8"/>
      <c r="G14" s="8"/>
      <c r="H14" s="8"/>
      <c r="I14" s="8"/>
      <c r="J14" s="8"/>
      <c r="K14" s="8"/>
      <c r="L14" s="14"/>
    </row>
    <row r="15" spans="2:15" x14ac:dyDescent="0.2">
      <c r="D15" s="13"/>
      <c r="E15" s="8"/>
      <c r="F15" s="8"/>
      <c r="G15" s="8"/>
      <c r="H15" s="8"/>
      <c r="I15" s="8"/>
      <c r="J15" s="8"/>
      <c r="K15" s="8"/>
      <c r="L15" s="14"/>
      <c r="N15" t="s">
        <v>119</v>
      </c>
      <c r="O15" t="s">
        <v>120</v>
      </c>
    </row>
    <row r="16" spans="2:15" x14ac:dyDescent="0.2">
      <c r="B16" t="s">
        <v>118</v>
      </c>
      <c r="D16" s="13"/>
      <c r="E16" s="8"/>
      <c r="F16" s="8"/>
      <c r="G16" s="8"/>
      <c r="H16" s="8"/>
      <c r="I16" s="8"/>
      <c r="J16" s="8"/>
      <c r="K16" s="8"/>
      <c r="L16" s="14"/>
    </row>
    <row r="17" spans="3:15" x14ac:dyDescent="0.2">
      <c r="D17" s="13"/>
      <c r="E17" s="8"/>
      <c r="F17" s="8"/>
      <c r="G17" s="8"/>
      <c r="H17" s="8"/>
      <c r="I17" s="8"/>
      <c r="J17" s="8"/>
      <c r="K17" s="8"/>
      <c r="L17" s="14"/>
      <c r="N17" t="s">
        <v>121</v>
      </c>
      <c r="O17" t="s">
        <v>122</v>
      </c>
    </row>
    <row r="18" spans="3:15" x14ac:dyDescent="0.2">
      <c r="D18" s="15"/>
      <c r="E18" s="16"/>
      <c r="F18" s="16"/>
      <c r="I18" s="16"/>
      <c r="J18" s="16"/>
      <c r="K18" s="16"/>
      <c r="L18" s="19"/>
      <c r="O18" t="s">
        <v>123</v>
      </c>
    </row>
    <row r="19" spans="3:15" x14ac:dyDescent="0.2">
      <c r="D19" s="15"/>
      <c r="E19" s="16"/>
      <c r="F19" s="16"/>
      <c r="I19" s="16"/>
      <c r="J19" s="16"/>
      <c r="K19" s="16"/>
      <c r="L19" s="19"/>
    </row>
    <row r="20" spans="3:15" x14ac:dyDescent="0.2">
      <c r="D20" s="15"/>
      <c r="E20" s="16"/>
      <c r="F20" s="16"/>
      <c r="I20" s="16"/>
      <c r="J20" s="16"/>
      <c r="K20" s="16"/>
      <c r="L20" s="19"/>
      <c r="N20" t="s">
        <v>124</v>
      </c>
      <c r="O20" t="s">
        <v>125</v>
      </c>
    </row>
    <row r="21" spans="3:15" x14ac:dyDescent="0.2">
      <c r="D21" s="15"/>
      <c r="E21" s="16"/>
      <c r="F21" s="16"/>
      <c r="I21" s="16"/>
      <c r="J21" s="16"/>
      <c r="K21" s="16"/>
      <c r="L21" s="19"/>
      <c r="O21" t="s">
        <v>126</v>
      </c>
    </row>
    <row r="22" spans="3:15" x14ac:dyDescent="0.2">
      <c r="D22" s="15"/>
      <c r="E22" s="16"/>
      <c r="F22" s="16"/>
      <c r="I22" s="16"/>
      <c r="J22" s="16"/>
      <c r="K22" s="16"/>
      <c r="L22" s="19"/>
      <c r="O22" t="s">
        <v>127</v>
      </c>
    </row>
    <row r="23" spans="3:15" ht="17" thickBot="1" x14ac:dyDescent="0.25">
      <c r="D23" s="17"/>
      <c r="E23" s="18"/>
      <c r="F23" s="18"/>
      <c r="G23" s="9"/>
      <c r="H23" s="9"/>
      <c r="I23" s="18"/>
      <c r="J23" s="18"/>
      <c r="K23" s="18"/>
      <c r="L23" s="20"/>
      <c r="O23" t="s">
        <v>128</v>
      </c>
    </row>
    <row r="26" spans="3:15" x14ac:dyDescent="0.2">
      <c r="C26" t="s">
        <v>129</v>
      </c>
      <c r="D26">
        <v>1000000</v>
      </c>
    </row>
    <row r="27" spans="3:15" x14ac:dyDescent="0.2">
      <c r="C27" t="s">
        <v>130</v>
      </c>
      <c r="D27">
        <v>50000</v>
      </c>
      <c r="F27" t="s">
        <v>138</v>
      </c>
      <c r="G27" t="s">
        <v>139</v>
      </c>
    </row>
    <row r="28" spans="3:15" x14ac:dyDescent="0.2">
      <c r="C28" t="s">
        <v>131</v>
      </c>
      <c r="D28">
        <v>2000</v>
      </c>
    </row>
    <row r="29" spans="3:15" x14ac:dyDescent="0.2">
      <c r="C29" t="s">
        <v>132</v>
      </c>
      <c r="D29">
        <v>300</v>
      </c>
      <c r="I29" t="s">
        <v>140</v>
      </c>
      <c r="J29" t="s">
        <v>145</v>
      </c>
    </row>
    <row r="30" spans="3:15" x14ac:dyDescent="0.2">
      <c r="C30" t="s">
        <v>133</v>
      </c>
      <c r="D30">
        <v>80</v>
      </c>
      <c r="I30" t="s">
        <v>141</v>
      </c>
      <c r="J30" t="s">
        <v>146</v>
      </c>
    </row>
    <row r="31" spans="3:15" x14ac:dyDescent="0.2">
      <c r="C31" t="s">
        <v>134</v>
      </c>
      <c r="D31">
        <v>60</v>
      </c>
      <c r="I31" t="s">
        <v>142</v>
      </c>
      <c r="J31" t="s">
        <v>147</v>
      </c>
    </row>
    <row r="32" spans="3:15" x14ac:dyDescent="0.2">
      <c r="C32" t="s">
        <v>135</v>
      </c>
    </row>
    <row r="33" spans="3:8" x14ac:dyDescent="0.2">
      <c r="C33" t="s">
        <v>136</v>
      </c>
      <c r="G33" t="s">
        <v>143</v>
      </c>
    </row>
    <row r="34" spans="3:8" x14ac:dyDescent="0.2">
      <c r="C34" t="s">
        <v>137</v>
      </c>
    </row>
    <row r="35" spans="3:8" x14ac:dyDescent="0.2">
      <c r="G35" t="s">
        <v>144</v>
      </c>
    </row>
    <row r="37" spans="3:8" x14ac:dyDescent="0.2">
      <c r="D37">
        <v>10</v>
      </c>
    </row>
    <row r="38" spans="3:8" x14ac:dyDescent="0.2">
      <c r="E38" t="s">
        <v>148</v>
      </c>
    </row>
    <row r="39" spans="3:8" x14ac:dyDescent="0.2">
      <c r="E39" t="s">
        <v>149</v>
      </c>
    </row>
    <row r="40" spans="3:8" x14ac:dyDescent="0.2">
      <c r="E40" t="s">
        <v>150</v>
      </c>
    </row>
    <row r="44" spans="3:8" x14ac:dyDescent="0.2">
      <c r="C44" t="s">
        <v>151</v>
      </c>
    </row>
    <row r="46" spans="3:8" x14ac:dyDescent="0.2">
      <c r="D46" t="s">
        <v>152</v>
      </c>
      <c r="F46" t="s">
        <v>155</v>
      </c>
      <c r="H46" t="s">
        <v>156</v>
      </c>
    </row>
    <row r="48" spans="3:8" x14ac:dyDescent="0.2">
      <c r="D48" t="s">
        <v>153</v>
      </c>
      <c r="F48" t="s">
        <v>157</v>
      </c>
      <c r="H48" s="58" t="s">
        <v>160</v>
      </c>
    </row>
    <row r="49" spans="4:10" x14ac:dyDescent="0.2">
      <c r="F49" t="s">
        <v>158</v>
      </c>
      <c r="H49" s="58"/>
    </row>
    <row r="50" spans="4:10" x14ac:dyDescent="0.2">
      <c r="F50" t="s">
        <v>159</v>
      </c>
      <c r="H50" s="58"/>
    </row>
    <row r="52" spans="4:10" x14ac:dyDescent="0.2">
      <c r="D52" t="s">
        <v>154</v>
      </c>
      <c r="F52" t="s">
        <v>162</v>
      </c>
      <c r="H52" t="s">
        <v>161</v>
      </c>
    </row>
    <row r="53" spans="4:10" x14ac:dyDescent="0.2">
      <c r="J53" t="s">
        <v>163</v>
      </c>
    </row>
    <row r="54" spans="4:10" x14ac:dyDescent="0.2">
      <c r="J54" t="s">
        <v>164</v>
      </c>
    </row>
    <row r="55" spans="4:10" x14ac:dyDescent="0.2">
      <c r="J55" t="s">
        <v>165</v>
      </c>
    </row>
    <row r="56" spans="4:10" x14ac:dyDescent="0.2">
      <c r="J56" t="s">
        <v>166</v>
      </c>
    </row>
    <row r="57" spans="4:10" x14ac:dyDescent="0.2">
      <c r="J57" t="s">
        <v>167</v>
      </c>
    </row>
    <row r="58" spans="4:10" x14ac:dyDescent="0.2">
      <c r="J58" t="s">
        <v>168</v>
      </c>
    </row>
  </sheetData>
  <mergeCells count="2">
    <mergeCell ref="N11:N13"/>
    <mergeCell ref="H48:H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7A14D-F174-9F4C-A793-D41FBF00E8B9}">
  <dimension ref="B3:I48"/>
  <sheetViews>
    <sheetView topLeftCell="A29" zoomScale="200" zoomScaleNormal="200" workbookViewId="0">
      <selection activeCell="F36" sqref="F36"/>
    </sheetView>
  </sheetViews>
  <sheetFormatPr baseColWidth="10" defaultRowHeight="16" x14ac:dyDescent="0.2"/>
  <cols>
    <col min="3" max="3" width="17" customWidth="1"/>
    <col min="4" max="4" width="16.83203125" bestFit="1" customWidth="1"/>
    <col min="5" max="5" width="17.1640625" bestFit="1" customWidth="1"/>
    <col min="6" max="6" width="19" bestFit="1" customWidth="1"/>
    <col min="7" max="7" width="13.6640625" bestFit="1" customWidth="1"/>
    <col min="8" max="8" width="14.6640625" bestFit="1" customWidth="1"/>
  </cols>
  <sheetData>
    <row r="3" spans="2:6" x14ac:dyDescent="0.2">
      <c r="B3" t="s">
        <v>169</v>
      </c>
    </row>
    <row r="4" spans="2:6" x14ac:dyDescent="0.2">
      <c r="C4" t="s">
        <v>172</v>
      </c>
      <c r="E4" t="str">
        <f>MID(C4,3,4)</f>
        <v>ncti</v>
      </c>
    </row>
    <row r="5" spans="2:6" x14ac:dyDescent="0.2">
      <c r="C5" t="s">
        <v>170</v>
      </c>
    </row>
    <row r="6" spans="2:6" x14ac:dyDescent="0.2">
      <c r="C6" t="s">
        <v>171</v>
      </c>
    </row>
    <row r="10" spans="2:6" x14ac:dyDescent="0.2">
      <c r="C10" t="s">
        <v>173</v>
      </c>
      <c r="E10" t="s">
        <v>174</v>
      </c>
      <c r="F10" t="s">
        <v>175</v>
      </c>
    </row>
    <row r="11" spans="2:6" x14ac:dyDescent="0.2">
      <c r="C11" t="s">
        <v>176</v>
      </c>
      <c r="E11" t="s">
        <v>177</v>
      </c>
      <c r="F11" t="s">
        <v>178</v>
      </c>
    </row>
    <row r="12" spans="2:6" x14ac:dyDescent="0.2">
      <c r="C12" t="s">
        <v>179</v>
      </c>
      <c r="E12" t="s">
        <v>180</v>
      </c>
      <c r="F12" t="s">
        <v>175</v>
      </c>
    </row>
    <row r="14" spans="2:6" x14ac:dyDescent="0.2">
      <c r="C14" t="str" cm="1">
        <f t="array" ref="C14:D14">_xlfn.TEXTSPLIT("Hello World"," ")</f>
        <v>Hello</v>
      </c>
      <c r="D14" t="str">
        <v>World</v>
      </c>
    </row>
    <row r="15" spans="2:6" x14ac:dyDescent="0.2">
      <c r="C15">
        <v>1</v>
      </c>
      <c r="D15">
        <v>2</v>
      </c>
    </row>
    <row r="17" spans="2:9" x14ac:dyDescent="0.2">
      <c r="C17" t="str" cm="1">
        <f t="array" ref="C17:I17">_xlfn.TEXTSPLIT("qw er er rt rt ty "," ")</f>
        <v>qw</v>
      </c>
      <c r="D17" t="str">
        <v>er</v>
      </c>
      <c r="E17" t="str">
        <v>er</v>
      </c>
      <c r="F17" t="str">
        <v>rt</v>
      </c>
      <c r="G17" t="str">
        <v>rt</v>
      </c>
      <c r="H17" t="str">
        <v>ty</v>
      </c>
      <c r="I17" t="str">
        <v/>
      </c>
    </row>
    <row r="18" spans="2:9" x14ac:dyDescent="0.2"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</row>
    <row r="21" spans="2:9" x14ac:dyDescent="0.2">
      <c r="C21" s="21" t="s">
        <v>181</v>
      </c>
      <c r="E21" t="str">
        <f>MID(C21,FIND("@",C21)+1,9)</f>
        <v>gmail.com</v>
      </c>
      <c r="F21" t="str">
        <f>SUBSTITUTE(C21,"gmail.com","tcs.com")</f>
        <v>siraj.ahmad@tcs.com</v>
      </c>
      <c r="I21" t="s">
        <v>196</v>
      </c>
    </row>
    <row r="23" spans="2:9" ht="17" thickBot="1" x14ac:dyDescent="0.25">
      <c r="I23" t="s">
        <v>197</v>
      </c>
    </row>
    <row r="24" spans="2:9" x14ac:dyDescent="0.2">
      <c r="B24" s="23" t="s">
        <v>182</v>
      </c>
      <c r="C24" s="24" t="s">
        <v>185</v>
      </c>
      <c r="D24" s="24" t="s">
        <v>188</v>
      </c>
      <c r="E24" s="24" t="s">
        <v>190</v>
      </c>
      <c r="F24" s="24" t="s">
        <v>192</v>
      </c>
      <c r="G24" s="25" t="s">
        <v>195</v>
      </c>
      <c r="I24" t="s">
        <v>198</v>
      </c>
    </row>
    <row r="25" spans="2:9" x14ac:dyDescent="0.2">
      <c r="B25" s="26" t="s">
        <v>183</v>
      </c>
      <c r="C25" t="s">
        <v>186</v>
      </c>
      <c r="D25" t="s">
        <v>189</v>
      </c>
      <c r="E25" t="s">
        <v>191</v>
      </c>
      <c r="F25" t="s">
        <v>193</v>
      </c>
      <c r="G25" s="27"/>
      <c r="I25" t="s">
        <v>199</v>
      </c>
    </row>
    <row r="26" spans="2:9" x14ac:dyDescent="0.2">
      <c r="B26" s="26" t="s">
        <v>184</v>
      </c>
      <c r="E26" t="s">
        <v>187</v>
      </c>
      <c r="F26" t="s">
        <v>194</v>
      </c>
      <c r="G26" s="27"/>
    </row>
    <row r="27" spans="2:9" ht="17" thickBot="1" x14ac:dyDescent="0.25">
      <c r="B27" s="28"/>
      <c r="C27" s="9"/>
      <c r="D27" s="9"/>
      <c r="E27" s="9"/>
      <c r="F27" s="9"/>
      <c r="G27" s="29"/>
    </row>
    <row r="29" spans="2:9" ht="17" thickBot="1" x14ac:dyDescent="0.25">
      <c r="G29" t="s">
        <v>226</v>
      </c>
      <c r="H29" t="s">
        <v>228</v>
      </c>
      <c r="I29" t="s">
        <v>230</v>
      </c>
    </row>
    <row r="30" spans="2:9" x14ac:dyDescent="0.2">
      <c r="B30" t="s">
        <v>200</v>
      </c>
      <c r="D30" s="23" t="s">
        <v>200</v>
      </c>
      <c r="E30" s="25"/>
      <c r="G30" s="22" t="s">
        <v>224</v>
      </c>
      <c r="H30" t="s">
        <v>229</v>
      </c>
      <c r="I30" t="s">
        <v>231</v>
      </c>
    </row>
    <row r="31" spans="2:9" x14ac:dyDescent="0.2">
      <c r="B31" t="s">
        <v>201</v>
      </c>
      <c r="D31" s="26" t="s">
        <v>213</v>
      </c>
      <c r="E31" s="27"/>
      <c r="G31" t="s">
        <v>227</v>
      </c>
    </row>
    <row r="32" spans="2:9" x14ac:dyDescent="0.2">
      <c r="B32" t="s">
        <v>202</v>
      </c>
      <c r="D32" s="26" t="s">
        <v>214</v>
      </c>
      <c r="E32" s="27"/>
    </row>
    <row r="33" spans="2:5" x14ac:dyDescent="0.2">
      <c r="B33" t="s">
        <v>203</v>
      </c>
      <c r="D33" s="26" t="s">
        <v>215</v>
      </c>
      <c r="E33" s="27"/>
    </row>
    <row r="34" spans="2:5" x14ac:dyDescent="0.2">
      <c r="B34" t="s">
        <v>204</v>
      </c>
      <c r="D34" s="26" t="s">
        <v>216</v>
      </c>
      <c r="E34" s="27"/>
    </row>
    <row r="35" spans="2:5" x14ac:dyDescent="0.2">
      <c r="B35" t="s">
        <v>205</v>
      </c>
      <c r="D35" s="26"/>
      <c r="E35" s="27" t="s">
        <v>202</v>
      </c>
    </row>
    <row r="36" spans="2:5" x14ac:dyDescent="0.2">
      <c r="B36" t="s">
        <v>206</v>
      </c>
      <c r="D36" s="26"/>
      <c r="E36" s="27" t="s">
        <v>217</v>
      </c>
    </row>
    <row r="37" spans="2:5" x14ac:dyDescent="0.2">
      <c r="B37" t="s">
        <v>207</v>
      </c>
      <c r="D37" s="26"/>
      <c r="E37" s="27" t="s">
        <v>203</v>
      </c>
    </row>
    <row r="38" spans="2:5" x14ac:dyDescent="0.2">
      <c r="B38" t="s">
        <v>208</v>
      </c>
      <c r="D38" s="26"/>
      <c r="E38" s="27" t="s">
        <v>218</v>
      </c>
    </row>
    <row r="39" spans="2:5" x14ac:dyDescent="0.2">
      <c r="B39" t="s">
        <v>209</v>
      </c>
      <c r="D39" s="26"/>
      <c r="E39" s="27" t="s">
        <v>219</v>
      </c>
    </row>
    <row r="40" spans="2:5" x14ac:dyDescent="0.2">
      <c r="B40" t="s">
        <v>210</v>
      </c>
      <c r="D40" s="26"/>
      <c r="E40" s="27" t="s">
        <v>205</v>
      </c>
    </row>
    <row r="41" spans="2:5" x14ac:dyDescent="0.2">
      <c r="B41" t="s">
        <v>211</v>
      </c>
      <c r="D41" s="26"/>
      <c r="E41" s="27" t="s">
        <v>208</v>
      </c>
    </row>
    <row r="42" spans="2:5" x14ac:dyDescent="0.2">
      <c r="B42" t="s">
        <v>212</v>
      </c>
      <c r="D42" s="26"/>
      <c r="E42" s="27" t="s">
        <v>209</v>
      </c>
    </row>
    <row r="43" spans="2:5" x14ac:dyDescent="0.2">
      <c r="D43" s="26"/>
      <c r="E43" s="27" t="s">
        <v>220</v>
      </c>
    </row>
    <row r="44" spans="2:5" x14ac:dyDescent="0.2">
      <c r="D44" s="26"/>
      <c r="E44" s="27" t="s">
        <v>221</v>
      </c>
    </row>
    <row r="45" spans="2:5" x14ac:dyDescent="0.2">
      <c r="D45" s="26" t="s">
        <v>222</v>
      </c>
      <c r="E45" s="27"/>
    </row>
    <row r="46" spans="2:5" x14ac:dyDescent="0.2">
      <c r="D46" s="26" t="s">
        <v>223</v>
      </c>
      <c r="E46" s="27"/>
    </row>
    <row r="47" spans="2:5" x14ac:dyDescent="0.2">
      <c r="D47" s="26" t="s">
        <v>225</v>
      </c>
      <c r="E47" s="27"/>
    </row>
    <row r="48" spans="2:5" ht="17" thickBot="1" x14ac:dyDescent="0.25">
      <c r="D48" s="28" t="s">
        <v>232</v>
      </c>
      <c r="E48" s="29"/>
    </row>
  </sheetData>
  <hyperlinks>
    <hyperlink ref="C21" r:id="rId1" xr:uid="{F518B6CB-60E1-F74D-964F-AEA9A806522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C48FC-634D-E544-8BCA-30AE9070B984}">
  <dimension ref="B2:L62"/>
  <sheetViews>
    <sheetView topLeftCell="A40" zoomScale="200" zoomScaleNormal="200" workbookViewId="0">
      <selection activeCell="H52" sqref="H52"/>
    </sheetView>
  </sheetViews>
  <sheetFormatPr baseColWidth="10" defaultRowHeight="16" x14ac:dyDescent="0.2"/>
  <cols>
    <col min="5" max="5" width="11.33203125" bestFit="1" customWidth="1"/>
    <col min="6" max="6" width="17.6640625" bestFit="1" customWidth="1"/>
    <col min="8" max="8" width="32.5" bestFit="1" customWidth="1"/>
  </cols>
  <sheetData>
    <row r="2" spans="2:12" x14ac:dyDescent="0.2">
      <c r="B2" t="s">
        <v>233</v>
      </c>
      <c r="C2" t="s">
        <v>249</v>
      </c>
    </row>
    <row r="3" spans="2:12" x14ac:dyDescent="0.2">
      <c r="B3">
        <v>34</v>
      </c>
      <c r="C3" t="s">
        <v>246</v>
      </c>
      <c r="J3" t="s">
        <v>234</v>
      </c>
      <c r="K3" t="s">
        <v>235</v>
      </c>
    </row>
    <row r="4" spans="2:12" x14ac:dyDescent="0.2">
      <c r="B4">
        <v>31</v>
      </c>
      <c r="C4" t="s">
        <v>248</v>
      </c>
      <c r="J4" t="s">
        <v>236</v>
      </c>
      <c r="K4" t="s">
        <v>30</v>
      </c>
    </row>
    <row r="5" spans="2:12" x14ac:dyDescent="0.2">
      <c r="B5">
        <v>48</v>
      </c>
      <c r="J5" t="s">
        <v>237</v>
      </c>
      <c r="K5" t="s">
        <v>238</v>
      </c>
    </row>
    <row r="6" spans="2:12" x14ac:dyDescent="0.2">
      <c r="B6">
        <v>88</v>
      </c>
      <c r="J6" t="s">
        <v>239</v>
      </c>
      <c r="K6" t="s">
        <v>240</v>
      </c>
    </row>
    <row r="7" spans="2:12" x14ac:dyDescent="0.2">
      <c r="B7">
        <v>92</v>
      </c>
      <c r="J7" t="s">
        <v>241</v>
      </c>
      <c r="K7" t="s">
        <v>242</v>
      </c>
    </row>
    <row r="8" spans="2:12" x14ac:dyDescent="0.2">
      <c r="B8">
        <v>64</v>
      </c>
      <c r="J8" t="s">
        <v>243</v>
      </c>
      <c r="K8" t="s">
        <v>244</v>
      </c>
    </row>
    <row r="9" spans="2:12" x14ac:dyDescent="0.2">
      <c r="B9">
        <v>40</v>
      </c>
      <c r="J9" t="s">
        <v>245</v>
      </c>
      <c r="K9" t="s">
        <v>246</v>
      </c>
    </row>
    <row r="10" spans="2:12" x14ac:dyDescent="0.2">
      <c r="B10">
        <v>97</v>
      </c>
      <c r="J10" t="s">
        <v>247</v>
      </c>
      <c r="K10" t="s">
        <v>248</v>
      </c>
    </row>
    <row r="11" spans="2:12" x14ac:dyDescent="0.2">
      <c r="B11">
        <v>76</v>
      </c>
    </row>
    <row r="12" spans="2:12" x14ac:dyDescent="0.2">
      <c r="B12">
        <v>85</v>
      </c>
      <c r="J12" t="s">
        <v>250</v>
      </c>
      <c r="K12" t="s">
        <v>258</v>
      </c>
    </row>
    <row r="13" spans="2:12" x14ac:dyDescent="0.2">
      <c r="K13">
        <v>1</v>
      </c>
      <c r="L13" t="s">
        <v>251</v>
      </c>
    </row>
    <row r="14" spans="2:12" x14ac:dyDescent="0.2">
      <c r="K14">
        <v>2</v>
      </c>
      <c r="L14" t="s">
        <v>252</v>
      </c>
    </row>
    <row r="15" spans="2:12" x14ac:dyDescent="0.2">
      <c r="K15">
        <v>3</v>
      </c>
      <c r="L15" t="s">
        <v>253</v>
      </c>
    </row>
    <row r="16" spans="2:12" x14ac:dyDescent="0.2">
      <c r="K16">
        <v>4</v>
      </c>
      <c r="L16" t="s">
        <v>254</v>
      </c>
    </row>
    <row r="17" spans="2:12" x14ac:dyDescent="0.2">
      <c r="K17">
        <v>5</v>
      </c>
      <c r="L17" t="s">
        <v>255</v>
      </c>
    </row>
    <row r="18" spans="2:12" x14ac:dyDescent="0.2">
      <c r="K18">
        <v>6</v>
      </c>
      <c r="L18" t="s">
        <v>256</v>
      </c>
    </row>
    <row r="19" spans="2:12" x14ac:dyDescent="0.2">
      <c r="K19">
        <v>7</v>
      </c>
      <c r="L19" t="s">
        <v>257</v>
      </c>
    </row>
    <row r="22" spans="2:12" s="6" customFormat="1" x14ac:dyDescent="0.2"/>
    <row r="24" spans="2:12" x14ac:dyDescent="0.2">
      <c r="B24" t="s">
        <v>259</v>
      </c>
    </row>
    <row r="25" spans="2:12" x14ac:dyDescent="0.2">
      <c r="C25" t="s">
        <v>260</v>
      </c>
      <c r="J25" t="s">
        <v>276</v>
      </c>
    </row>
    <row r="26" spans="2:12" x14ac:dyDescent="0.2">
      <c r="D26" t="s">
        <v>261</v>
      </c>
      <c r="E26" t="s">
        <v>272</v>
      </c>
      <c r="I26" t="s">
        <v>274</v>
      </c>
      <c r="J26" t="s">
        <v>275</v>
      </c>
    </row>
    <row r="27" spans="2:12" ht="17" thickBot="1" x14ac:dyDescent="0.25">
      <c r="D27" t="s">
        <v>262</v>
      </c>
      <c r="E27" t="s">
        <v>273</v>
      </c>
    </row>
    <row r="28" spans="2:12" x14ac:dyDescent="0.2">
      <c r="C28" s="23"/>
      <c r="D28" s="24" t="s">
        <v>263</v>
      </c>
      <c r="E28" s="24" t="s">
        <v>264</v>
      </c>
      <c r="F28" s="25"/>
    </row>
    <row r="29" spans="2:12" x14ac:dyDescent="0.2">
      <c r="C29" s="26"/>
      <c r="F29" s="27"/>
    </row>
    <row r="30" spans="2:12" x14ac:dyDescent="0.2">
      <c r="C30" s="26"/>
      <c r="F30" s="27"/>
    </row>
    <row r="31" spans="2:12" x14ac:dyDescent="0.2">
      <c r="C31" s="26" t="s">
        <v>265</v>
      </c>
      <c r="F31" s="27"/>
    </row>
    <row r="32" spans="2:12" x14ac:dyDescent="0.2">
      <c r="C32" s="26"/>
      <c r="D32" t="s">
        <v>266</v>
      </c>
      <c r="E32" t="s">
        <v>269</v>
      </c>
      <c r="F32" s="27" t="s">
        <v>270</v>
      </c>
    </row>
    <row r="33" spans="2:10" x14ac:dyDescent="0.2">
      <c r="C33" s="26"/>
      <c r="D33" t="s">
        <v>267</v>
      </c>
      <c r="E33" t="s">
        <v>271</v>
      </c>
      <c r="F33" s="27" t="s">
        <v>270</v>
      </c>
    </row>
    <row r="34" spans="2:10" ht="17" thickBot="1" x14ac:dyDescent="0.25">
      <c r="C34" s="28"/>
      <c r="D34" s="9" t="s">
        <v>268</v>
      </c>
      <c r="E34" s="9" t="s">
        <v>271</v>
      </c>
      <c r="F34" s="29" t="s">
        <v>270</v>
      </c>
    </row>
    <row r="38" spans="2:10" x14ac:dyDescent="0.2">
      <c r="B38" t="s">
        <v>277</v>
      </c>
    </row>
    <row r="39" spans="2:10" x14ac:dyDescent="0.2">
      <c r="D39" t="s">
        <v>278</v>
      </c>
    </row>
    <row r="40" spans="2:10" x14ac:dyDescent="0.2">
      <c r="E40" t="s">
        <v>280</v>
      </c>
    </row>
    <row r="41" spans="2:10" x14ac:dyDescent="0.2">
      <c r="D41" t="s">
        <v>279</v>
      </c>
    </row>
    <row r="42" spans="2:10" x14ac:dyDescent="0.2">
      <c r="E42" t="s">
        <v>281</v>
      </c>
    </row>
    <row r="43" spans="2:10" x14ac:dyDescent="0.2">
      <c r="F43" t="s">
        <v>282</v>
      </c>
    </row>
    <row r="44" spans="2:10" x14ac:dyDescent="0.2">
      <c r="F44" t="s">
        <v>283</v>
      </c>
    </row>
    <row r="47" spans="2:10" x14ac:dyDescent="0.2">
      <c r="D47" t="s">
        <v>284</v>
      </c>
      <c r="E47" t="s">
        <v>285</v>
      </c>
      <c r="F47" t="s">
        <v>286</v>
      </c>
      <c r="G47" t="s">
        <v>287</v>
      </c>
      <c r="H47" t="s">
        <v>288</v>
      </c>
    </row>
    <row r="48" spans="2:10" x14ac:dyDescent="0.2">
      <c r="D48">
        <v>1</v>
      </c>
      <c r="E48">
        <v>2</v>
      </c>
      <c r="F48">
        <v>3</v>
      </c>
      <c r="G48">
        <v>4</v>
      </c>
      <c r="H48">
        <v>-1</v>
      </c>
      <c r="J48">
        <v>1</v>
      </c>
    </row>
    <row r="49" spans="4:10" x14ac:dyDescent="0.2">
      <c r="D49" t="s">
        <v>55</v>
      </c>
      <c r="E49">
        <v>1</v>
      </c>
      <c r="F49">
        <v>2</v>
      </c>
      <c r="G49">
        <v>3</v>
      </c>
      <c r="H49">
        <v>-1</v>
      </c>
      <c r="J49">
        <v>1</v>
      </c>
    </row>
    <row r="50" spans="4:10" x14ac:dyDescent="0.2">
      <c r="D50" t="s">
        <v>55</v>
      </c>
      <c r="E50" t="s">
        <v>55</v>
      </c>
      <c r="F50">
        <v>1</v>
      </c>
      <c r="G50">
        <v>2</v>
      </c>
      <c r="H50">
        <v>-1</v>
      </c>
      <c r="J50">
        <v>1</v>
      </c>
    </row>
    <row r="51" spans="4:10" x14ac:dyDescent="0.2">
      <c r="D51" t="s">
        <v>55</v>
      </c>
      <c r="E51" t="s">
        <v>55</v>
      </c>
      <c r="F51" t="s">
        <v>55</v>
      </c>
      <c r="G51">
        <v>1</v>
      </c>
      <c r="H51">
        <v>-1</v>
      </c>
      <c r="J51">
        <v>1</v>
      </c>
    </row>
    <row r="52" spans="4:10" x14ac:dyDescent="0.2">
      <c r="D52" t="s">
        <v>55</v>
      </c>
      <c r="E52" t="s">
        <v>55</v>
      </c>
      <c r="F52" t="s">
        <v>55</v>
      </c>
      <c r="G52" t="s">
        <v>55</v>
      </c>
      <c r="H52">
        <v>-1</v>
      </c>
      <c r="J52">
        <v>-1</v>
      </c>
    </row>
    <row r="56" spans="4:10" x14ac:dyDescent="0.2">
      <c r="D56" t="s">
        <v>289</v>
      </c>
      <c r="F56" t="s">
        <v>290</v>
      </c>
      <c r="H56" t="s">
        <v>291</v>
      </c>
    </row>
    <row r="57" spans="4:10" x14ac:dyDescent="0.2">
      <c r="D57">
        <v>1</v>
      </c>
      <c r="F57" t="s">
        <v>292</v>
      </c>
      <c r="G57">
        <v>1</v>
      </c>
      <c r="H57" t="s">
        <v>293</v>
      </c>
      <c r="I57">
        <v>1</v>
      </c>
    </row>
    <row r="58" spans="4:10" x14ac:dyDescent="0.2">
      <c r="D58">
        <v>2</v>
      </c>
      <c r="G58">
        <v>2</v>
      </c>
      <c r="I58">
        <v>2</v>
      </c>
    </row>
    <row r="59" spans="4:10" x14ac:dyDescent="0.2">
      <c r="D59">
        <v>3</v>
      </c>
      <c r="G59">
        <v>3</v>
      </c>
      <c r="I59">
        <v>3</v>
      </c>
    </row>
    <row r="60" spans="4:10" x14ac:dyDescent="0.2">
      <c r="D60" t="s">
        <v>55</v>
      </c>
      <c r="G60">
        <v>-1</v>
      </c>
      <c r="I60">
        <v>-1</v>
      </c>
    </row>
    <row r="61" spans="4:10" x14ac:dyDescent="0.2">
      <c r="D61" t="s">
        <v>55</v>
      </c>
      <c r="G61">
        <v>-1</v>
      </c>
      <c r="I61">
        <v>-1</v>
      </c>
    </row>
    <row r="62" spans="4:10" x14ac:dyDescent="0.2">
      <c r="D62" t="s">
        <v>55</v>
      </c>
      <c r="G62">
        <v>-1</v>
      </c>
      <c r="I62">
        <v>-1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9ED6C-1F6D-234E-8485-A5537365EFE1}">
  <dimension ref="B1:L189"/>
  <sheetViews>
    <sheetView topLeftCell="B44" zoomScale="200" zoomScaleNormal="200" workbookViewId="0">
      <selection activeCell="C190" sqref="C190"/>
    </sheetView>
  </sheetViews>
  <sheetFormatPr baseColWidth="10" defaultRowHeight="16" x14ac:dyDescent="0.2"/>
  <cols>
    <col min="2" max="2" width="19" bestFit="1" customWidth="1"/>
    <col min="3" max="3" width="25.83203125" bestFit="1" customWidth="1"/>
    <col min="5" max="5" width="22.6640625" bestFit="1" customWidth="1"/>
    <col min="7" max="7" width="25" bestFit="1" customWidth="1"/>
    <col min="9" max="9" width="13.6640625" bestFit="1" customWidth="1"/>
    <col min="11" max="11" width="13" bestFit="1" customWidth="1"/>
    <col min="12" max="12" width="12.1640625" bestFit="1" customWidth="1"/>
  </cols>
  <sheetData>
    <row r="1" spans="2:12" x14ac:dyDescent="0.2">
      <c r="D1" t="s">
        <v>296</v>
      </c>
      <c r="F1" t="s">
        <v>297</v>
      </c>
    </row>
    <row r="2" spans="2:12" x14ac:dyDescent="0.2">
      <c r="B2" t="s">
        <v>294</v>
      </c>
      <c r="D2" t="s">
        <v>298</v>
      </c>
      <c r="F2" t="s">
        <v>298</v>
      </c>
    </row>
    <row r="4" spans="2:12" x14ac:dyDescent="0.2">
      <c r="B4" t="s">
        <v>295</v>
      </c>
      <c r="D4" t="s">
        <v>299</v>
      </c>
      <c r="F4" t="s">
        <v>298</v>
      </c>
    </row>
    <row r="6" spans="2:12" x14ac:dyDescent="0.2">
      <c r="B6" t="s">
        <v>300</v>
      </c>
      <c r="D6" t="s">
        <v>299</v>
      </c>
      <c r="F6" t="s">
        <v>301</v>
      </c>
      <c r="G6" t="s">
        <v>302</v>
      </c>
    </row>
    <row r="10" spans="2:12" x14ac:dyDescent="0.2">
      <c r="F10" t="s">
        <v>294</v>
      </c>
      <c r="G10" t="s">
        <v>295</v>
      </c>
      <c r="K10" t="s">
        <v>308</v>
      </c>
    </row>
    <row r="11" spans="2:12" x14ac:dyDescent="0.2">
      <c r="B11" t="s">
        <v>303</v>
      </c>
      <c r="C11" t="s">
        <v>64</v>
      </c>
      <c r="D11" t="s">
        <v>307</v>
      </c>
      <c r="F11" t="s">
        <v>182</v>
      </c>
      <c r="G11" t="s">
        <v>266</v>
      </c>
      <c r="H11" t="s">
        <v>267</v>
      </c>
      <c r="I11" t="s">
        <v>268</v>
      </c>
      <c r="K11" s="30" t="s">
        <v>309</v>
      </c>
      <c r="L11" t="s">
        <v>311</v>
      </c>
    </row>
    <row r="12" spans="2:12" x14ac:dyDescent="0.2">
      <c r="B12" t="s">
        <v>304</v>
      </c>
      <c r="C12">
        <v>45000</v>
      </c>
      <c r="D12">
        <v>1</v>
      </c>
      <c r="F12" t="str">
        <f>UPPER(B12)</f>
        <v>SIRAJ</v>
      </c>
      <c r="G12">
        <f>COUNT(C12:C14)</f>
        <v>3</v>
      </c>
      <c r="H12">
        <f>SUM(C12:C14)</f>
        <v>160000</v>
      </c>
      <c r="I12">
        <f>AVERAGE(C12:C14)</f>
        <v>53333.333333333336</v>
      </c>
      <c r="K12" s="31">
        <v>1</v>
      </c>
      <c r="L12">
        <v>105000</v>
      </c>
    </row>
    <row r="13" spans="2:12" x14ac:dyDescent="0.2">
      <c r="B13" t="s">
        <v>305</v>
      </c>
      <c r="C13">
        <v>60000</v>
      </c>
      <c r="D13">
        <v>1</v>
      </c>
      <c r="F13" t="str">
        <f t="shared" ref="F13:F14" si="0">UPPER(B13)</f>
        <v>RAHUL</v>
      </c>
      <c r="K13" s="31">
        <v>2</v>
      </c>
      <c r="L13">
        <v>55000</v>
      </c>
    </row>
    <row r="14" spans="2:12" x14ac:dyDescent="0.2">
      <c r="B14" t="s">
        <v>306</v>
      </c>
      <c r="C14">
        <v>55000</v>
      </c>
      <c r="D14">
        <v>2</v>
      </c>
      <c r="F14" t="str">
        <f t="shared" si="0"/>
        <v>MOHAN</v>
      </c>
      <c r="K14" s="31" t="s">
        <v>310</v>
      </c>
      <c r="L14">
        <v>160000</v>
      </c>
    </row>
    <row r="17" spans="2:8" x14ac:dyDescent="0.2">
      <c r="B17" t="s">
        <v>312</v>
      </c>
    </row>
    <row r="18" spans="2:8" x14ac:dyDescent="0.2">
      <c r="F18" t="s">
        <v>222</v>
      </c>
    </row>
    <row r="19" spans="2:8" x14ac:dyDescent="0.2">
      <c r="B19" t="s">
        <v>313</v>
      </c>
      <c r="C19" t="s">
        <v>319</v>
      </c>
      <c r="F19">
        <v>15</v>
      </c>
      <c r="G19" t="s">
        <v>313</v>
      </c>
      <c r="H19">
        <v>5</v>
      </c>
    </row>
    <row r="20" spans="2:8" x14ac:dyDescent="0.2">
      <c r="B20" t="s">
        <v>314</v>
      </c>
      <c r="F20" t="s">
        <v>55</v>
      </c>
      <c r="G20" t="s">
        <v>319</v>
      </c>
      <c r="H20">
        <v>6</v>
      </c>
    </row>
    <row r="21" spans="2:8" x14ac:dyDescent="0.2">
      <c r="B21" t="s">
        <v>315</v>
      </c>
      <c r="F21">
        <v>16</v>
      </c>
      <c r="G21" t="s">
        <v>320</v>
      </c>
      <c r="H21">
        <v>3</v>
      </c>
    </row>
    <row r="22" spans="2:8" x14ac:dyDescent="0.2">
      <c r="B22" t="s">
        <v>317</v>
      </c>
      <c r="F22">
        <v>16</v>
      </c>
    </row>
    <row r="23" spans="2:8" x14ac:dyDescent="0.2">
      <c r="B23" t="s">
        <v>316</v>
      </c>
      <c r="F23">
        <v>15</v>
      </c>
    </row>
    <row r="24" spans="2:8" x14ac:dyDescent="0.2">
      <c r="F24">
        <v>65</v>
      </c>
    </row>
    <row r="25" spans="2:8" x14ac:dyDescent="0.2">
      <c r="B25" t="s">
        <v>318</v>
      </c>
    </row>
    <row r="26" spans="2:8" ht="17" thickBot="1" x14ac:dyDescent="0.25"/>
    <row r="27" spans="2:8" x14ac:dyDescent="0.2">
      <c r="C27" s="23"/>
      <c r="D27" s="24"/>
      <c r="E27" s="24"/>
      <c r="F27" s="24"/>
      <c r="G27" s="24"/>
      <c r="H27" s="25"/>
    </row>
    <row r="28" spans="2:8" x14ac:dyDescent="0.2">
      <c r="C28" s="26"/>
      <c r="H28" s="27"/>
    </row>
    <row r="29" spans="2:8" x14ac:dyDescent="0.2">
      <c r="C29" s="26"/>
      <c r="H29" s="27"/>
    </row>
    <row r="30" spans="2:8" x14ac:dyDescent="0.2">
      <c r="C30" s="26"/>
      <c r="H30" s="27"/>
    </row>
    <row r="31" spans="2:8" x14ac:dyDescent="0.2">
      <c r="C31" s="26"/>
      <c r="H31" s="27"/>
    </row>
    <row r="32" spans="2:8" x14ac:dyDescent="0.2">
      <c r="C32" s="26"/>
      <c r="H32" s="27"/>
    </row>
    <row r="33" spans="2:10" x14ac:dyDescent="0.2">
      <c r="C33" s="26"/>
      <c r="H33" s="27"/>
    </row>
    <row r="34" spans="2:10" x14ac:dyDescent="0.2">
      <c r="C34" s="26"/>
      <c r="H34" s="27"/>
    </row>
    <row r="35" spans="2:10" x14ac:dyDescent="0.2">
      <c r="C35" s="26"/>
      <c r="H35" s="27"/>
    </row>
    <row r="36" spans="2:10" x14ac:dyDescent="0.2">
      <c r="C36" s="26"/>
      <c r="H36" s="27"/>
    </row>
    <row r="37" spans="2:10" x14ac:dyDescent="0.2">
      <c r="C37" s="26"/>
      <c r="H37" s="27"/>
    </row>
    <row r="38" spans="2:10" x14ac:dyDescent="0.2">
      <c r="C38" s="26"/>
      <c r="H38" s="27"/>
    </row>
    <row r="39" spans="2:10" x14ac:dyDescent="0.2">
      <c r="C39" s="26"/>
      <c r="H39" s="27"/>
    </row>
    <row r="40" spans="2:10" x14ac:dyDescent="0.2">
      <c r="C40" s="26"/>
      <c r="H40" s="27"/>
    </row>
    <row r="41" spans="2:10" ht="17" thickBot="1" x14ac:dyDescent="0.25">
      <c r="C41" s="28"/>
      <c r="D41" s="9"/>
      <c r="E41" s="9"/>
      <c r="F41" s="9"/>
      <c r="G41" s="9"/>
      <c r="H41" s="29"/>
    </row>
    <row r="46" spans="2:10" x14ac:dyDescent="0.2">
      <c r="B46" t="s">
        <v>321</v>
      </c>
      <c r="D46" s="6" t="s">
        <v>261</v>
      </c>
      <c r="E46" s="6"/>
      <c r="H46" t="s">
        <v>327</v>
      </c>
    </row>
    <row r="47" spans="2:10" x14ac:dyDescent="0.2">
      <c r="D47" s="6"/>
      <c r="E47" s="6" t="s">
        <v>322</v>
      </c>
      <c r="I47" t="s">
        <v>328</v>
      </c>
      <c r="J47">
        <v>10000</v>
      </c>
    </row>
    <row r="48" spans="2:10" x14ac:dyDescent="0.2">
      <c r="D48" s="6"/>
      <c r="E48" s="6" t="s">
        <v>323</v>
      </c>
      <c r="H48" t="s">
        <v>329</v>
      </c>
    </row>
    <row r="49" spans="4:11" x14ac:dyDescent="0.2">
      <c r="D49" s="6"/>
      <c r="E49" s="6" t="s">
        <v>324</v>
      </c>
      <c r="I49">
        <v>100</v>
      </c>
      <c r="J49">
        <v>100000</v>
      </c>
    </row>
    <row r="50" spans="4:11" x14ac:dyDescent="0.2">
      <c r="D50" s="6"/>
      <c r="E50" s="6" t="s">
        <v>259</v>
      </c>
      <c r="H50" t="s">
        <v>262</v>
      </c>
    </row>
    <row r="51" spans="4:11" x14ac:dyDescent="0.2">
      <c r="D51" s="6"/>
      <c r="E51" s="6" t="s">
        <v>325</v>
      </c>
      <c r="J51">
        <v>90000</v>
      </c>
    </row>
    <row r="52" spans="4:11" x14ac:dyDescent="0.2">
      <c r="D52" s="6"/>
      <c r="E52" s="6" t="s">
        <v>290</v>
      </c>
      <c r="H52" t="s">
        <v>341</v>
      </c>
    </row>
    <row r="53" spans="4:11" x14ac:dyDescent="0.2">
      <c r="D53" s="6"/>
      <c r="E53" s="6" t="s">
        <v>326</v>
      </c>
      <c r="I53" t="s">
        <v>342</v>
      </c>
      <c r="J53">
        <v>150</v>
      </c>
    </row>
    <row r="54" spans="4:11" x14ac:dyDescent="0.2">
      <c r="D54" s="6" t="s">
        <v>327</v>
      </c>
      <c r="E54" s="6"/>
      <c r="H54" t="s">
        <v>333</v>
      </c>
    </row>
    <row r="55" spans="4:11" x14ac:dyDescent="0.2">
      <c r="D55" s="6"/>
      <c r="E55" s="6" t="s">
        <v>328</v>
      </c>
      <c r="G55">
        <v>10000</v>
      </c>
      <c r="J55">
        <v>102</v>
      </c>
    </row>
    <row r="56" spans="4:11" x14ac:dyDescent="0.2">
      <c r="D56" t="s">
        <v>329</v>
      </c>
      <c r="H56" t="s">
        <v>261</v>
      </c>
      <c r="K56" t="s">
        <v>353</v>
      </c>
    </row>
    <row r="57" spans="4:11" x14ac:dyDescent="0.2">
      <c r="E57" t="s">
        <v>330</v>
      </c>
      <c r="G57">
        <v>100000</v>
      </c>
    </row>
    <row r="58" spans="4:11" x14ac:dyDescent="0.2">
      <c r="D58" s="6" t="s">
        <v>262</v>
      </c>
      <c r="E58" s="6"/>
    </row>
    <row r="59" spans="4:11" x14ac:dyDescent="0.2">
      <c r="D59" s="6"/>
      <c r="E59" s="6" t="s">
        <v>276</v>
      </c>
      <c r="G59">
        <v>90000</v>
      </c>
      <c r="H59" t="s">
        <v>349</v>
      </c>
    </row>
    <row r="60" spans="4:11" x14ac:dyDescent="0.2">
      <c r="D60" s="6" t="s">
        <v>331</v>
      </c>
      <c r="E60" s="6"/>
    </row>
    <row r="61" spans="4:11" x14ac:dyDescent="0.2">
      <c r="D61" s="6"/>
      <c r="E61" s="6" t="s">
        <v>332</v>
      </c>
      <c r="G61">
        <v>150</v>
      </c>
      <c r="H61" t="s">
        <v>350</v>
      </c>
    </row>
    <row r="62" spans="4:11" x14ac:dyDescent="0.2">
      <c r="D62" s="6" t="s">
        <v>333</v>
      </c>
      <c r="E62" s="6"/>
    </row>
    <row r="63" spans="4:11" x14ac:dyDescent="0.2">
      <c r="D63" s="6"/>
      <c r="E63" s="6" t="s">
        <v>334</v>
      </c>
      <c r="G63">
        <v>102</v>
      </c>
      <c r="H63" t="s">
        <v>351</v>
      </c>
    </row>
    <row r="64" spans="4:11" x14ac:dyDescent="0.2">
      <c r="D64" s="6" t="s">
        <v>335</v>
      </c>
      <c r="E64" s="6"/>
    </row>
    <row r="65" spans="4:11" x14ac:dyDescent="0.2">
      <c r="D65" s="6"/>
      <c r="E65" s="6" t="s">
        <v>336</v>
      </c>
      <c r="H65" t="s">
        <v>352</v>
      </c>
    </row>
    <row r="66" spans="4:11" x14ac:dyDescent="0.2">
      <c r="D66" s="6" t="s">
        <v>337</v>
      </c>
      <c r="E66" s="6"/>
    </row>
    <row r="67" spans="4:11" x14ac:dyDescent="0.2">
      <c r="D67" s="6"/>
      <c r="E67" s="6" t="s">
        <v>338</v>
      </c>
    </row>
    <row r="68" spans="4:11" x14ac:dyDescent="0.2">
      <c r="D68" s="6" t="s">
        <v>339</v>
      </c>
      <c r="E68" s="6"/>
    </row>
    <row r="69" spans="4:11" x14ac:dyDescent="0.2">
      <c r="D69" s="6"/>
      <c r="E69" s="6" t="s">
        <v>340</v>
      </c>
      <c r="I69" t="s">
        <v>354</v>
      </c>
      <c r="K69" t="s">
        <v>359</v>
      </c>
    </row>
    <row r="70" spans="4:11" x14ac:dyDescent="0.2">
      <c r="D70" s="6"/>
      <c r="E70" s="6"/>
      <c r="I70" t="s">
        <v>355</v>
      </c>
      <c r="K70" t="s">
        <v>360</v>
      </c>
    </row>
    <row r="71" spans="4:11" x14ac:dyDescent="0.2">
      <c r="I71" t="s">
        <v>356</v>
      </c>
    </row>
    <row r="72" spans="4:11" x14ac:dyDescent="0.2">
      <c r="D72" t="s">
        <v>343</v>
      </c>
      <c r="I72" t="s">
        <v>357</v>
      </c>
    </row>
    <row r="73" spans="4:11" x14ac:dyDescent="0.2">
      <c r="I73" t="s">
        <v>358</v>
      </c>
    </row>
    <row r="100" spans="2:10" x14ac:dyDescent="0.2">
      <c r="B100" t="s">
        <v>344</v>
      </c>
      <c r="C100" t="s">
        <v>346</v>
      </c>
      <c r="D100" t="s">
        <v>347</v>
      </c>
      <c r="E100" t="s">
        <v>346</v>
      </c>
      <c r="F100" t="s">
        <v>261</v>
      </c>
    </row>
    <row r="101" spans="2:10" x14ac:dyDescent="0.2">
      <c r="C101" t="s">
        <v>274</v>
      </c>
      <c r="D101" t="s">
        <v>275</v>
      </c>
      <c r="E101" t="s">
        <v>345</v>
      </c>
      <c r="F101">
        <v>1</v>
      </c>
      <c r="G101" t="s">
        <v>274</v>
      </c>
      <c r="H101" t="s">
        <v>275</v>
      </c>
      <c r="I101" t="s">
        <v>345</v>
      </c>
      <c r="J101" t="s">
        <v>347</v>
      </c>
    </row>
    <row r="102" spans="2:10" x14ac:dyDescent="0.2">
      <c r="B102" t="s">
        <v>341</v>
      </c>
      <c r="F102">
        <v>2</v>
      </c>
      <c r="G102" t="s">
        <v>274</v>
      </c>
    </row>
    <row r="103" spans="2:10" x14ac:dyDescent="0.2">
      <c r="C103" t="s">
        <v>274</v>
      </c>
      <c r="D103" t="s">
        <v>345</v>
      </c>
      <c r="F103">
        <v>3</v>
      </c>
      <c r="G103" t="s">
        <v>274</v>
      </c>
      <c r="H103" t="s">
        <v>275</v>
      </c>
    </row>
    <row r="104" spans="2:10" x14ac:dyDescent="0.2">
      <c r="F104">
        <v>4</v>
      </c>
      <c r="G104" t="s">
        <v>274</v>
      </c>
      <c r="H104" t="s">
        <v>275</v>
      </c>
      <c r="I104" t="s">
        <v>345</v>
      </c>
    </row>
    <row r="105" spans="2:10" x14ac:dyDescent="0.2">
      <c r="F105">
        <v>5</v>
      </c>
      <c r="G105" t="s">
        <v>345</v>
      </c>
      <c r="H105" t="s">
        <v>274</v>
      </c>
    </row>
    <row r="106" spans="2:10" x14ac:dyDescent="0.2">
      <c r="F106">
        <v>6</v>
      </c>
      <c r="G106" t="s">
        <v>274</v>
      </c>
      <c r="H106" t="s">
        <v>347</v>
      </c>
    </row>
    <row r="107" spans="2:10" x14ac:dyDescent="0.2">
      <c r="F107" t="s">
        <v>348</v>
      </c>
    </row>
    <row r="108" spans="2:10" x14ac:dyDescent="0.2">
      <c r="G108" t="s">
        <v>274</v>
      </c>
      <c r="H108" t="s">
        <v>275</v>
      </c>
      <c r="I108" t="s">
        <v>345</v>
      </c>
      <c r="J108" t="s">
        <v>347</v>
      </c>
    </row>
    <row r="121" spans="3:7" x14ac:dyDescent="0.2">
      <c r="C121" t="s">
        <v>327</v>
      </c>
    </row>
    <row r="123" spans="3:7" x14ac:dyDescent="0.2">
      <c r="C123" t="s">
        <v>361</v>
      </c>
      <c r="D123" t="s">
        <v>362</v>
      </c>
      <c r="F123" t="s">
        <v>361</v>
      </c>
      <c r="G123" t="s">
        <v>362</v>
      </c>
    </row>
    <row r="124" spans="3:7" x14ac:dyDescent="0.2">
      <c r="C124">
        <v>1</v>
      </c>
      <c r="D124">
        <v>1</v>
      </c>
      <c r="F124">
        <v>1</v>
      </c>
      <c r="G124">
        <v>1</v>
      </c>
    </row>
    <row r="125" spans="3:7" x14ac:dyDescent="0.2">
      <c r="C125">
        <v>2</v>
      </c>
      <c r="D125">
        <v>2</v>
      </c>
      <c r="F125">
        <v>4</v>
      </c>
      <c r="G125">
        <v>1</v>
      </c>
    </row>
    <row r="126" spans="3:7" x14ac:dyDescent="0.2">
      <c r="C126">
        <v>3</v>
      </c>
      <c r="D126">
        <v>3</v>
      </c>
      <c r="F126">
        <v>7</v>
      </c>
      <c r="G126">
        <v>1</v>
      </c>
    </row>
    <row r="127" spans="3:7" x14ac:dyDescent="0.2">
      <c r="C127">
        <v>4</v>
      </c>
      <c r="D127">
        <v>1</v>
      </c>
      <c r="F127">
        <v>10</v>
      </c>
      <c r="G127">
        <v>1</v>
      </c>
    </row>
    <row r="128" spans="3:7" x14ac:dyDescent="0.2">
      <c r="C128">
        <v>5</v>
      </c>
      <c r="D128">
        <v>2</v>
      </c>
      <c r="F128">
        <v>13</v>
      </c>
      <c r="G128">
        <v>1</v>
      </c>
    </row>
    <row r="129" spans="3:7" x14ac:dyDescent="0.2">
      <c r="C129">
        <v>6</v>
      </c>
      <c r="D129">
        <v>3</v>
      </c>
      <c r="F129">
        <v>16</v>
      </c>
      <c r="G129">
        <v>1</v>
      </c>
    </row>
    <row r="130" spans="3:7" x14ac:dyDescent="0.2">
      <c r="C130">
        <v>7</v>
      </c>
      <c r="D130">
        <v>1</v>
      </c>
      <c r="F130">
        <v>19</v>
      </c>
      <c r="G130">
        <v>1</v>
      </c>
    </row>
    <row r="131" spans="3:7" x14ac:dyDescent="0.2">
      <c r="C131">
        <v>8</v>
      </c>
      <c r="D131">
        <v>2</v>
      </c>
    </row>
    <row r="132" spans="3:7" x14ac:dyDescent="0.2">
      <c r="C132">
        <v>9</v>
      </c>
      <c r="D132">
        <v>3</v>
      </c>
    </row>
    <row r="133" spans="3:7" x14ac:dyDescent="0.2">
      <c r="C133">
        <v>10</v>
      </c>
      <c r="D133">
        <v>1</v>
      </c>
    </row>
    <row r="134" spans="3:7" x14ac:dyDescent="0.2">
      <c r="C134">
        <v>11</v>
      </c>
      <c r="D134">
        <v>2</v>
      </c>
    </row>
    <row r="135" spans="3:7" x14ac:dyDescent="0.2">
      <c r="C135">
        <v>12</v>
      </c>
      <c r="D135">
        <v>3</v>
      </c>
    </row>
    <row r="136" spans="3:7" x14ac:dyDescent="0.2">
      <c r="C136">
        <v>13</v>
      </c>
      <c r="D136">
        <v>1</v>
      </c>
    </row>
    <row r="137" spans="3:7" x14ac:dyDescent="0.2">
      <c r="C137">
        <v>14</v>
      </c>
      <c r="D137">
        <v>2</v>
      </c>
    </row>
    <row r="138" spans="3:7" x14ac:dyDescent="0.2">
      <c r="C138">
        <v>15</v>
      </c>
      <c r="D138">
        <v>3</v>
      </c>
    </row>
    <row r="139" spans="3:7" x14ac:dyDescent="0.2">
      <c r="C139">
        <v>16</v>
      </c>
      <c r="D139">
        <v>1</v>
      </c>
    </row>
    <row r="140" spans="3:7" x14ac:dyDescent="0.2">
      <c r="C140">
        <v>17</v>
      </c>
      <c r="D140">
        <v>2</v>
      </c>
    </row>
    <row r="141" spans="3:7" x14ac:dyDescent="0.2">
      <c r="C141">
        <v>18</v>
      </c>
      <c r="D141">
        <v>3</v>
      </c>
    </row>
    <row r="142" spans="3:7" x14ac:dyDescent="0.2">
      <c r="C142">
        <v>19</v>
      </c>
      <c r="D142">
        <v>1</v>
      </c>
    </row>
    <row r="143" spans="3:7" x14ac:dyDescent="0.2">
      <c r="C143">
        <v>20</v>
      </c>
      <c r="D143">
        <v>2</v>
      </c>
    </row>
    <row r="149" spans="3:6" x14ac:dyDescent="0.2">
      <c r="C149" t="s">
        <v>363</v>
      </c>
      <c r="F149" t="s">
        <v>367</v>
      </c>
    </row>
    <row r="150" spans="3:6" x14ac:dyDescent="0.2">
      <c r="C150" t="s">
        <v>347</v>
      </c>
      <c r="F150" t="s">
        <v>368</v>
      </c>
    </row>
    <row r="151" spans="3:6" x14ac:dyDescent="0.2">
      <c r="C151" t="s">
        <v>364</v>
      </c>
    </row>
    <row r="152" spans="3:6" x14ac:dyDescent="0.2">
      <c r="C152" t="s">
        <v>365</v>
      </c>
    </row>
    <row r="153" spans="3:6" x14ac:dyDescent="0.2">
      <c r="C153" t="s">
        <v>366</v>
      </c>
    </row>
    <row r="161" spans="3:7" s="6" customFormat="1" x14ac:dyDescent="0.2"/>
    <row r="163" spans="3:7" x14ac:dyDescent="0.2">
      <c r="C163" t="s">
        <v>369</v>
      </c>
      <c r="E163" t="s">
        <v>371</v>
      </c>
    </row>
    <row r="165" spans="3:7" x14ac:dyDescent="0.2">
      <c r="C165" t="s">
        <v>370</v>
      </c>
      <c r="E165" t="s">
        <v>372</v>
      </c>
    </row>
    <row r="167" spans="3:7" x14ac:dyDescent="0.2">
      <c r="C167" t="s">
        <v>373</v>
      </c>
      <c r="E167" t="s">
        <v>374</v>
      </c>
      <c r="G167" t="s">
        <v>375</v>
      </c>
    </row>
    <row r="170" spans="3:7" x14ac:dyDescent="0.2">
      <c r="C170" s="58" t="s">
        <v>376</v>
      </c>
      <c r="D170" s="58"/>
      <c r="E170" s="58"/>
      <c r="F170" s="58"/>
      <c r="G170" s="58"/>
    </row>
    <row r="171" spans="3:7" x14ac:dyDescent="0.2">
      <c r="C171" s="58"/>
      <c r="D171" s="58"/>
      <c r="E171" s="58"/>
      <c r="F171" s="58"/>
      <c r="G171" s="58"/>
    </row>
    <row r="173" spans="3:7" x14ac:dyDescent="0.2">
      <c r="C173" s="58"/>
      <c r="D173" s="58"/>
      <c r="E173" s="58"/>
      <c r="F173" s="58"/>
      <c r="G173" s="58"/>
    </row>
    <row r="174" spans="3:7" x14ac:dyDescent="0.2">
      <c r="C174" s="58"/>
      <c r="D174" s="58"/>
      <c r="E174" s="58"/>
      <c r="F174" s="58"/>
      <c r="G174" s="58"/>
    </row>
    <row r="175" spans="3:7" x14ac:dyDescent="0.2">
      <c r="C175" t="s">
        <v>378</v>
      </c>
    </row>
    <row r="176" spans="3:7" x14ac:dyDescent="0.2">
      <c r="C176" t="s">
        <v>347</v>
      </c>
      <c r="E176" t="s">
        <v>379</v>
      </c>
    </row>
    <row r="177" spans="3:3" x14ac:dyDescent="0.2">
      <c r="C177" t="s">
        <v>364</v>
      </c>
    </row>
    <row r="178" spans="3:3" x14ac:dyDescent="0.2">
      <c r="C178" t="s">
        <v>365</v>
      </c>
    </row>
    <row r="179" spans="3:3" x14ac:dyDescent="0.2">
      <c r="C179" t="s">
        <v>366</v>
      </c>
    </row>
    <row r="180" spans="3:3" x14ac:dyDescent="0.2">
      <c r="C180" t="s">
        <v>377</v>
      </c>
    </row>
    <row r="183" spans="3:3" x14ac:dyDescent="0.2">
      <c r="C183" t="s">
        <v>380</v>
      </c>
    </row>
    <row r="184" spans="3:3" x14ac:dyDescent="0.2">
      <c r="C184" t="s">
        <v>381</v>
      </c>
    </row>
    <row r="185" spans="3:3" x14ac:dyDescent="0.2">
      <c r="C185" t="s">
        <v>382</v>
      </c>
    </row>
    <row r="186" spans="3:3" x14ac:dyDescent="0.2">
      <c r="C186" t="s">
        <v>383</v>
      </c>
    </row>
    <row r="187" spans="3:3" x14ac:dyDescent="0.2">
      <c r="C187" t="s">
        <v>384</v>
      </c>
    </row>
    <row r="189" spans="3:3" x14ac:dyDescent="0.2">
      <c r="C189" t="s">
        <v>385</v>
      </c>
    </row>
  </sheetData>
  <mergeCells count="2">
    <mergeCell ref="C170:G171"/>
    <mergeCell ref="C173:G174"/>
  </mergeCell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86924-D822-2C45-BC1A-F5219AB9ACD7}">
  <dimension ref="B2:N208"/>
  <sheetViews>
    <sheetView topLeftCell="A164" zoomScale="200" zoomScaleNormal="200" workbookViewId="0">
      <selection activeCell="C155" sqref="C155:C166"/>
    </sheetView>
  </sheetViews>
  <sheetFormatPr baseColWidth="10" defaultRowHeight="16" x14ac:dyDescent="0.2"/>
  <cols>
    <col min="1" max="1" width="4.1640625" customWidth="1"/>
    <col min="2" max="2" width="43.6640625" bestFit="1" customWidth="1"/>
    <col min="3" max="3" width="14" bestFit="1" customWidth="1"/>
    <col min="4" max="4" width="7" bestFit="1" customWidth="1"/>
    <col min="5" max="5" width="13.83203125" bestFit="1" customWidth="1"/>
  </cols>
  <sheetData>
    <row r="2" spans="2:14" x14ac:dyDescent="0.2">
      <c r="B2" t="s">
        <v>386</v>
      </c>
      <c r="H2" t="s">
        <v>397</v>
      </c>
    </row>
    <row r="4" spans="2:14" x14ac:dyDescent="0.2">
      <c r="B4" t="s">
        <v>387</v>
      </c>
      <c r="C4" t="s">
        <v>388</v>
      </c>
      <c r="E4" t="s">
        <v>390</v>
      </c>
      <c r="F4" t="s">
        <v>391</v>
      </c>
      <c r="H4" t="s">
        <v>387</v>
      </c>
      <c r="I4">
        <v>20</v>
      </c>
      <c r="K4" t="s">
        <v>390</v>
      </c>
      <c r="L4">
        <v>30</v>
      </c>
    </row>
    <row r="5" spans="2:14" x14ac:dyDescent="0.2">
      <c r="B5" t="s">
        <v>389</v>
      </c>
      <c r="E5" t="s">
        <v>389</v>
      </c>
    </row>
    <row r="6" spans="2:14" x14ac:dyDescent="0.2">
      <c r="H6" t="s">
        <v>394</v>
      </c>
      <c r="I6">
        <v>15</v>
      </c>
      <c r="L6">
        <v>15</v>
      </c>
      <c r="N6" t="s">
        <v>398</v>
      </c>
    </row>
    <row r="7" spans="2:14" x14ac:dyDescent="0.2">
      <c r="B7" t="s">
        <v>392</v>
      </c>
      <c r="C7">
        <v>100</v>
      </c>
      <c r="E7" t="s">
        <v>393</v>
      </c>
      <c r="F7">
        <v>80</v>
      </c>
    </row>
    <row r="8" spans="2:14" x14ac:dyDescent="0.2">
      <c r="H8" s="58" t="s">
        <v>399</v>
      </c>
      <c r="I8">
        <v>5</v>
      </c>
      <c r="K8" s="58" t="s">
        <v>400</v>
      </c>
      <c r="L8">
        <v>15</v>
      </c>
    </row>
    <row r="9" spans="2:14" x14ac:dyDescent="0.2">
      <c r="B9" t="s">
        <v>394</v>
      </c>
      <c r="C9">
        <v>50</v>
      </c>
      <c r="E9" t="s">
        <v>394</v>
      </c>
      <c r="F9">
        <v>50</v>
      </c>
      <c r="H9" s="58"/>
      <c r="K9" s="58"/>
    </row>
    <row r="10" spans="2:14" x14ac:dyDescent="0.2">
      <c r="H10" s="58"/>
      <c r="K10" s="58"/>
    </row>
    <row r="11" spans="2:14" x14ac:dyDescent="0.2">
      <c r="B11" t="s">
        <v>395</v>
      </c>
      <c r="C11">
        <v>50</v>
      </c>
      <c r="E11" t="s">
        <v>396</v>
      </c>
      <c r="F11">
        <v>30</v>
      </c>
      <c r="H11" s="58"/>
      <c r="K11" s="58"/>
    </row>
    <row r="14" spans="2:14" x14ac:dyDescent="0.2">
      <c r="B14" t="s">
        <v>387</v>
      </c>
      <c r="C14" t="s">
        <v>401</v>
      </c>
    </row>
    <row r="15" spans="2:14" x14ac:dyDescent="0.2">
      <c r="B15" t="s">
        <v>390</v>
      </c>
      <c r="C15" t="s">
        <v>402</v>
      </c>
    </row>
    <row r="16" spans="2:14" x14ac:dyDescent="0.2">
      <c r="B16" t="s">
        <v>403</v>
      </c>
      <c r="C16" t="s">
        <v>404</v>
      </c>
    </row>
    <row r="17" spans="2:13" x14ac:dyDescent="0.2">
      <c r="B17" t="s">
        <v>405</v>
      </c>
      <c r="C17" t="s">
        <v>406</v>
      </c>
    </row>
    <row r="18" spans="2:13" x14ac:dyDescent="0.2">
      <c r="B18" t="s">
        <v>396</v>
      </c>
      <c r="C18" t="s">
        <v>407</v>
      </c>
    </row>
    <row r="19" spans="2:13" x14ac:dyDescent="0.2">
      <c r="B19" t="s">
        <v>447</v>
      </c>
      <c r="C19" t="s">
        <v>408</v>
      </c>
    </row>
    <row r="20" spans="2:13" x14ac:dyDescent="0.2">
      <c r="B20" t="s">
        <v>448</v>
      </c>
      <c r="C20" t="s">
        <v>409</v>
      </c>
    </row>
    <row r="21" spans="2:13" ht="17" thickBot="1" x14ac:dyDescent="0.25"/>
    <row r="22" spans="2:13" x14ac:dyDescent="0.2">
      <c r="B22" t="s">
        <v>412</v>
      </c>
      <c r="D22" s="32"/>
      <c r="E22" s="33"/>
      <c r="F22" s="33"/>
      <c r="G22" s="34"/>
      <c r="I22" s="32"/>
      <c r="J22" s="33"/>
      <c r="K22" s="33"/>
      <c r="L22" s="33"/>
      <c r="M22" s="34"/>
    </row>
    <row r="23" spans="2:13" x14ac:dyDescent="0.2">
      <c r="D23" s="35"/>
      <c r="E23" s="6"/>
      <c r="F23" s="6"/>
      <c r="G23" s="36"/>
      <c r="I23" s="35"/>
      <c r="J23" s="6"/>
      <c r="K23" s="6"/>
      <c r="L23" s="6"/>
      <c r="M23" s="36"/>
    </row>
    <row r="24" spans="2:13" x14ac:dyDescent="0.2">
      <c r="B24" t="s">
        <v>413</v>
      </c>
      <c r="D24" s="35"/>
      <c r="E24" s="6"/>
      <c r="F24" s="6"/>
      <c r="G24" s="36"/>
      <c r="I24" s="35"/>
      <c r="J24" s="6"/>
      <c r="K24" s="6"/>
      <c r="L24" s="6"/>
      <c r="M24" s="36"/>
    </row>
    <row r="25" spans="2:13" x14ac:dyDescent="0.2">
      <c r="B25" t="s">
        <v>414</v>
      </c>
      <c r="D25" s="35"/>
      <c r="E25" s="6"/>
      <c r="F25" s="6"/>
      <c r="G25" s="36"/>
      <c r="I25" s="35"/>
      <c r="J25" s="6"/>
      <c r="K25" s="6"/>
      <c r="L25" s="6"/>
      <c r="M25" s="36"/>
    </row>
    <row r="26" spans="2:13" x14ac:dyDescent="0.2">
      <c r="D26" s="35"/>
      <c r="E26" s="6"/>
      <c r="F26" s="6"/>
      <c r="G26" s="36"/>
      <c r="I26" s="35"/>
      <c r="J26" s="6"/>
      <c r="K26" s="6"/>
      <c r="L26" s="6"/>
      <c r="M26" s="36"/>
    </row>
    <row r="27" spans="2:13" x14ac:dyDescent="0.2">
      <c r="D27" s="35"/>
      <c r="E27" s="6"/>
      <c r="F27" s="6"/>
      <c r="G27" s="36"/>
      <c r="I27" s="35"/>
      <c r="J27" s="6"/>
      <c r="K27" s="6"/>
      <c r="L27" s="6"/>
      <c r="M27" s="36"/>
    </row>
    <row r="28" spans="2:13" x14ac:dyDescent="0.2">
      <c r="D28" s="35"/>
      <c r="E28" s="6"/>
      <c r="F28" s="6"/>
      <c r="G28" s="36"/>
      <c r="I28" s="35"/>
      <c r="J28" s="6"/>
      <c r="K28" s="6"/>
      <c r="L28" s="6"/>
      <c r="M28" s="36"/>
    </row>
    <row r="29" spans="2:13" x14ac:dyDescent="0.2">
      <c r="D29" s="35"/>
      <c r="E29" s="6"/>
      <c r="F29" s="6"/>
      <c r="G29" s="36"/>
      <c r="I29" s="35"/>
      <c r="J29" s="6"/>
      <c r="K29" s="6"/>
      <c r="L29" s="6"/>
      <c r="M29" s="36"/>
    </row>
    <row r="30" spans="2:13" x14ac:dyDescent="0.2">
      <c r="D30" s="35"/>
      <c r="E30" s="6"/>
      <c r="F30" s="6"/>
      <c r="G30" s="36"/>
      <c r="I30" s="35"/>
      <c r="J30" s="6"/>
      <c r="K30" s="6"/>
      <c r="L30" s="6"/>
      <c r="M30" s="36"/>
    </row>
    <row r="31" spans="2:13" ht="17" thickBot="1" x14ac:dyDescent="0.25">
      <c r="D31" s="37"/>
      <c r="E31" s="38"/>
      <c r="F31" s="38"/>
      <c r="G31" s="39"/>
      <c r="I31" s="37"/>
      <c r="J31" s="38"/>
      <c r="K31" s="38"/>
      <c r="L31" s="38"/>
      <c r="M31" s="39"/>
    </row>
    <row r="33" spans="2:12" ht="17" thickBot="1" x14ac:dyDescent="0.25"/>
    <row r="34" spans="2:12" x14ac:dyDescent="0.2">
      <c r="B34" s="59" t="s">
        <v>415</v>
      </c>
      <c r="D34" s="32"/>
      <c r="E34" s="33"/>
      <c r="F34" s="33"/>
      <c r="G34" s="34"/>
      <c r="H34" s="32"/>
      <c r="I34" s="33"/>
      <c r="J34" s="33"/>
      <c r="K34" s="33"/>
      <c r="L34" s="34"/>
    </row>
    <row r="35" spans="2:12" x14ac:dyDescent="0.2">
      <c r="B35" s="60"/>
      <c r="D35" s="35"/>
      <c r="E35" s="6"/>
      <c r="F35" s="6"/>
      <c r="G35" s="36"/>
      <c r="H35" s="35"/>
      <c r="I35" s="6"/>
      <c r="J35" s="6"/>
      <c r="K35" s="6"/>
      <c r="L35" s="36"/>
    </row>
    <row r="36" spans="2:12" x14ac:dyDescent="0.2">
      <c r="B36" s="60"/>
      <c r="D36" s="35"/>
      <c r="E36" s="6"/>
      <c r="F36" s="6"/>
      <c r="G36" s="36"/>
      <c r="H36" s="35"/>
      <c r="I36" s="6"/>
      <c r="J36" s="6"/>
      <c r="K36" s="6"/>
      <c r="L36" s="36"/>
    </row>
    <row r="37" spans="2:12" x14ac:dyDescent="0.2">
      <c r="B37" s="60"/>
      <c r="D37" s="35"/>
      <c r="E37" s="6"/>
      <c r="F37" s="6"/>
      <c r="G37" s="36"/>
      <c r="H37" s="35"/>
      <c r="I37" s="6"/>
      <c r="J37" s="6"/>
      <c r="K37" s="6"/>
      <c r="L37" s="36"/>
    </row>
    <row r="38" spans="2:12" x14ac:dyDescent="0.2">
      <c r="B38" s="60"/>
      <c r="D38" s="35"/>
      <c r="E38" s="6"/>
      <c r="F38" s="6"/>
      <c r="G38" s="36"/>
      <c r="H38" s="35"/>
      <c r="I38" s="6"/>
      <c r="J38" s="6"/>
      <c r="K38" s="6"/>
      <c r="L38" s="36"/>
    </row>
    <row r="39" spans="2:12" x14ac:dyDescent="0.2">
      <c r="B39" s="60"/>
      <c r="D39" s="35"/>
      <c r="E39" s="6"/>
      <c r="F39" s="6"/>
      <c r="G39" s="36"/>
      <c r="H39" s="35"/>
      <c r="I39" s="6"/>
      <c r="J39" s="6"/>
      <c r="K39" s="6"/>
      <c r="L39" s="36"/>
    </row>
    <row r="40" spans="2:12" x14ac:dyDescent="0.2">
      <c r="B40" s="60"/>
      <c r="D40" s="35"/>
      <c r="E40" s="6"/>
      <c r="F40" s="6"/>
      <c r="G40" s="36"/>
      <c r="H40" s="35"/>
      <c r="I40" s="6"/>
      <c r="J40" s="6"/>
      <c r="K40" s="6"/>
      <c r="L40" s="36"/>
    </row>
    <row r="41" spans="2:12" x14ac:dyDescent="0.2">
      <c r="B41" s="60"/>
      <c r="D41" s="35"/>
      <c r="E41" s="6"/>
      <c r="F41" s="6"/>
      <c r="G41" s="36"/>
      <c r="H41" s="35"/>
      <c r="I41" s="6"/>
      <c r="J41" s="6"/>
      <c r="K41" s="6"/>
      <c r="L41" s="36"/>
    </row>
    <row r="42" spans="2:12" x14ac:dyDescent="0.2">
      <c r="B42" s="60"/>
      <c r="D42" s="35"/>
      <c r="E42" s="6"/>
      <c r="F42" s="6"/>
      <c r="G42" s="36"/>
      <c r="H42" s="35"/>
      <c r="I42" s="6"/>
      <c r="J42" s="6"/>
      <c r="K42" s="6"/>
      <c r="L42" s="36"/>
    </row>
    <row r="43" spans="2:12" ht="17" thickBot="1" x14ac:dyDescent="0.25">
      <c r="B43" s="61"/>
      <c r="D43" s="37"/>
      <c r="E43" s="38"/>
      <c r="F43" s="38"/>
      <c r="G43" s="39"/>
      <c r="H43" s="37"/>
      <c r="I43" s="38"/>
      <c r="J43" s="38"/>
      <c r="K43" s="38"/>
      <c r="L43" s="39"/>
    </row>
    <row r="45" spans="2:12" x14ac:dyDescent="0.2">
      <c r="E45" t="s">
        <v>416</v>
      </c>
      <c r="I45" t="s">
        <v>417</v>
      </c>
    </row>
    <row r="47" spans="2:12" ht="17" thickBot="1" x14ac:dyDescent="0.25">
      <c r="D47" s="62" t="s">
        <v>424</v>
      </c>
      <c r="E47" s="62"/>
      <c r="F47" s="62"/>
      <c r="G47" s="62"/>
      <c r="H47" s="62"/>
    </row>
    <row r="48" spans="2:12" x14ac:dyDescent="0.2">
      <c r="B48" s="59" t="s">
        <v>420</v>
      </c>
      <c r="D48" s="32" t="s">
        <v>16</v>
      </c>
      <c r="E48" s="33" t="s">
        <v>423</v>
      </c>
      <c r="F48" s="33"/>
      <c r="G48" s="34"/>
      <c r="H48" s="40"/>
    </row>
    <row r="49" spans="2:11" x14ac:dyDescent="0.2">
      <c r="B49" s="60"/>
      <c r="D49" s="35"/>
      <c r="E49" s="6"/>
      <c r="F49" s="6"/>
      <c r="G49" s="36"/>
      <c r="H49" s="41"/>
    </row>
    <row r="50" spans="2:11" x14ac:dyDescent="0.2">
      <c r="B50" s="60"/>
      <c r="D50" s="35"/>
      <c r="E50" s="6"/>
      <c r="F50" s="6"/>
      <c r="G50" s="36"/>
      <c r="H50" s="41"/>
      <c r="K50" t="s">
        <v>418</v>
      </c>
    </row>
    <row r="51" spans="2:11" x14ac:dyDescent="0.2">
      <c r="B51" s="60"/>
      <c r="D51" s="35"/>
      <c r="E51" s="6"/>
      <c r="F51" s="6"/>
      <c r="G51" s="36"/>
      <c r="H51" s="41"/>
    </row>
    <row r="52" spans="2:11" ht="17" thickBot="1" x14ac:dyDescent="0.25">
      <c r="B52" s="61"/>
      <c r="D52" s="35"/>
      <c r="E52" s="6"/>
      <c r="F52" s="6"/>
      <c r="G52" s="36"/>
      <c r="H52" s="41"/>
    </row>
    <row r="53" spans="2:11" x14ac:dyDescent="0.2">
      <c r="D53" s="35"/>
      <c r="E53" s="6"/>
      <c r="F53" s="6"/>
      <c r="G53" s="36"/>
      <c r="H53" s="41"/>
    </row>
    <row r="54" spans="2:11" x14ac:dyDescent="0.2">
      <c r="D54" s="35"/>
      <c r="E54" s="6"/>
      <c r="F54" s="6"/>
      <c r="G54" s="36"/>
      <c r="H54" s="41"/>
    </row>
    <row r="55" spans="2:11" x14ac:dyDescent="0.2">
      <c r="B55" t="s">
        <v>421</v>
      </c>
      <c r="D55" s="35"/>
      <c r="E55" s="6"/>
      <c r="F55" s="6"/>
      <c r="G55" s="36"/>
      <c r="H55" s="41"/>
    </row>
    <row r="56" spans="2:11" x14ac:dyDescent="0.2">
      <c r="D56" s="35"/>
      <c r="E56" s="6"/>
      <c r="F56" s="6"/>
      <c r="G56" s="36"/>
      <c r="H56" s="41"/>
    </row>
    <row r="57" spans="2:11" ht="17" thickBot="1" x14ac:dyDescent="0.25">
      <c r="B57" t="s">
        <v>422</v>
      </c>
      <c r="D57" s="37"/>
      <c r="E57" s="38"/>
      <c r="F57" s="38"/>
      <c r="G57" s="39"/>
      <c r="H57" s="42"/>
    </row>
    <row r="58" spans="2:11" x14ac:dyDescent="0.2">
      <c r="D58" s="32" t="s">
        <v>16</v>
      </c>
      <c r="E58" s="33" t="s">
        <v>423</v>
      </c>
      <c r="F58" s="33"/>
      <c r="G58" s="33"/>
      <c r="H58" s="34"/>
    </row>
    <row r="59" spans="2:11" x14ac:dyDescent="0.2">
      <c r="D59" s="35"/>
      <c r="E59" s="6"/>
      <c r="F59" s="6"/>
      <c r="G59" s="6"/>
      <c r="H59" s="36"/>
    </row>
    <row r="60" spans="2:11" x14ac:dyDescent="0.2">
      <c r="D60" s="35"/>
      <c r="E60" s="6"/>
      <c r="F60" s="6"/>
      <c r="G60" s="6"/>
      <c r="H60" s="36"/>
      <c r="K60" t="s">
        <v>419</v>
      </c>
    </row>
    <row r="61" spans="2:11" x14ac:dyDescent="0.2">
      <c r="D61" s="35"/>
      <c r="E61" s="6"/>
      <c r="F61" s="6"/>
      <c r="G61" s="6"/>
      <c r="H61" s="36"/>
    </row>
    <row r="62" spans="2:11" x14ac:dyDescent="0.2">
      <c r="D62" s="35"/>
      <c r="E62" s="6"/>
      <c r="F62" s="6"/>
      <c r="G62" s="6"/>
      <c r="H62" s="36"/>
    </row>
    <row r="63" spans="2:11" x14ac:dyDescent="0.2">
      <c r="D63" s="35"/>
      <c r="E63" s="6"/>
      <c r="F63" s="6"/>
      <c r="G63" s="6"/>
      <c r="H63" s="36"/>
    </row>
    <row r="64" spans="2:11" x14ac:dyDescent="0.2">
      <c r="D64" s="35"/>
      <c r="E64" s="6"/>
      <c r="F64" s="6"/>
      <c r="G64" s="6"/>
      <c r="H64" s="36"/>
    </row>
    <row r="65" spans="2:8" x14ac:dyDescent="0.2">
      <c r="D65" s="35"/>
      <c r="E65" s="6"/>
      <c r="F65" s="6"/>
      <c r="G65" s="6"/>
      <c r="H65" s="36"/>
    </row>
    <row r="66" spans="2:8" x14ac:dyDescent="0.2">
      <c r="D66" s="35"/>
      <c r="E66" s="6"/>
      <c r="F66" s="6"/>
      <c r="G66" s="6"/>
      <c r="H66" s="36"/>
    </row>
    <row r="67" spans="2:8" ht="17" thickBot="1" x14ac:dyDescent="0.25">
      <c r="D67" s="37"/>
      <c r="E67" s="38"/>
      <c r="F67" s="38"/>
      <c r="G67" s="38"/>
      <c r="H67" s="39"/>
    </row>
    <row r="70" spans="2:8" x14ac:dyDescent="0.2">
      <c r="B70" t="s">
        <v>425</v>
      </c>
    </row>
    <row r="72" spans="2:8" x14ac:dyDescent="0.2">
      <c r="B72" t="s">
        <v>387</v>
      </c>
      <c r="C72" t="s">
        <v>401</v>
      </c>
    </row>
    <row r="73" spans="2:8" x14ac:dyDescent="0.2">
      <c r="B73" t="s">
        <v>390</v>
      </c>
      <c r="C73" t="s">
        <v>402</v>
      </c>
    </row>
    <row r="74" spans="2:8" ht="17" thickBot="1" x14ac:dyDescent="0.25">
      <c r="B74" t="s">
        <v>403</v>
      </c>
      <c r="C74" t="s">
        <v>404</v>
      </c>
    </row>
    <row r="75" spans="2:8" ht="17" thickBot="1" x14ac:dyDescent="0.25">
      <c r="B75" s="49" t="s">
        <v>405</v>
      </c>
      <c r="C75" s="50" t="s">
        <v>406</v>
      </c>
    </row>
    <row r="76" spans="2:8" ht="17" thickBot="1" x14ac:dyDescent="0.25">
      <c r="B76" t="s">
        <v>396</v>
      </c>
      <c r="C76" t="s">
        <v>407</v>
      </c>
    </row>
    <row r="77" spans="2:8" ht="17" thickBot="1" x14ac:dyDescent="0.25">
      <c r="B77" s="49" t="s">
        <v>410</v>
      </c>
      <c r="C77" s="50" t="s">
        <v>408</v>
      </c>
    </row>
    <row r="78" spans="2:8" x14ac:dyDescent="0.2">
      <c r="B78" t="s">
        <v>411</v>
      </c>
      <c r="C78" t="s">
        <v>409</v>
      </c>
    </row>
    <row r="81" spans="2:7" x14ac:dyDescent="0.2">
      <c r="B81" t="s">
        <v>401</v>
      </c>
      <c r="E81" t="s">
        <v>402</v>
      </c>
    </row>
    <row r="82" spans="2:7" x14ac:dyDescent="0.2">
      <c r="B82" t="s">
        <v>426</v>
      </c>
      <c r="E82" t="s">
        <v>426</v>
      </c>
    </row>
    <row r="83" spans="2:7" x14ac:dyDescent="0.2">
      <c r="B83">
        <v>1</v>
      </c>
      <c r="E83">
        <v>3</v>
      </c>
    </row>
    <row r="84" spans="2:7" x14ac:dyDescent="0.2">
      <c r="B84">
        <v>2</v>
      </c>
      <c r="E84">
        <v>3</v>
      </c>
    </row>
    <row r="85" spans="2:7" x14ac:dyDescent="0.2">
      <c r="B85">
        <v>3</v>
      </c>
      <c r="E85">
        <v>3</v>
      </c>
    </row>
    <row r="86" spans="2:7" x14ac:dyDescent="0.2">
      <c r="B86">
        <v>3</v>
      </c>
      <c r="E86">
        <v>4</v>
      </c>
    </row>
    <row r="87" spans="2:7" x14ac:dyDescent="0.2">
      <c r="B87">
        <v>4</v>
      </c>
      <c r="E87">
        <v>6</v>
      </c>
    </row>
    <row r="88" spans="2:7" x14ac:dyDescent="0.2">
      <c r="B88">
        <v>4</v>
      </c>
      <c r="E88">
        <v>6</v>
      </c>
    </row>
    <row r="89" spans="2:7" x14ac:dyDescent="0.2">
      <c r="B89">
        <v>4</v>
      </c>
      <c r="E89">
        <v>7</v>
      </c>
    </row>
    <row r="90" spans="2:7" x14ac:dyDescent="0.2">
      <c r="B90">
        <v>5</v>
      </c>
    </row>
    <row r="93" spans="2:7" x14ac:dyDescent="0.2">
      <c r="B93" s="58" t="s">
        <v>427</v>
      </c>
      <c r="C93" s="58"/>
      <c r="D93" s="58"/>
      <c r="E93" s="58"/>
      <c r="F93" t="s">
        <v>428</v>
      </c>
      <c r="G93" t="s">
        <v>430</v>
      </c>
    </row>
    <row r="94" spans="2:7" x14ac:dyDescent="0.2">
      <c r="F94" t="s">
        <v>429</v>
      </c>
      <c r="G94" t="s">
        <v>431</v>
      </c>
    </row>
    <row r="95" spans="2:7" x14ac:dyDescent="0.2">
      <c r="B95" t="s">
        <v>401</v>
      </c>
      <c r="C95" t="s">
        <v>402</v>
      </c>
    </row>
    <row r="96" spans="2:7" x14ac:dyDescent="0.2">
      <c r="B96" t="s">
        <v>426</v>
      </c>
      <c r="C96" t="s">
        <v>426</v>
      </c>
    </row>
    <row r="97" spans="2:5" x14ac:dyDescent="0.2">
      <c r="B97">
        <v>3</v>
      </c>
      <c r="C97">
        <v>3</v>
      </c>
    </row>
    <row r="98" spans="2:5" x14ac:dyDescent="0.2">
      <c r="B98">
        <v>3</v>
      </c>
      <c r="C98">
        <v>3</v>
      </c>
    </row>
    <row r="99" spans="2:5" x14ac:dyDescent="0.2">
      <c r="B99">
        <v>3</v>
      </c>
      <c r="C99">
        <v>3</v>
      </c>
    </row>
    <row r="100" spans="2:5" x14ac:dyDescent="0.2">
      <c r="B100">
        <v>3</v>
      </c>
      <c r="C100">
        <v>3</v>
      </c>
    </row>
    <row r="101" spans="2:5" x14ac:dyDescent="0.2">
      <c r="B101">
        <v>3</v>
      </c>
      <c r="C101">
        <v>3</v>
      </c>
    </row>
    <row r="102" spans="2:5" x14ac:dyDescent="0.2">
      <c r="B102">
        <v>3</v>
      </c>
      <c r="C102">
        <v>3</v>
      </c>
    </row>
    <row r="103" spans="2:5" x14ac:dyDescent="0.2">
      <c r="B103">
        <v>4</v>
      </c>
      <c r="C103">
        <v>4</v>
      </c>
    </row>
    <row r="104" spans="2:5" x14ac:dyDescent="0.2">
      <c r="B104">
        <v>4</v>
      </c>
      <c r="C104">
        <v>4</v>
      </c>
    </row>
    <row r="105" spans="2:5" x14ac:dyDescent="0.2">
      <c r="B105">
        <v>4</v>
      </c>
      <c r="C105">
        <v>4</v>
      </c>
    </row>
    <row r="109" spans="2:5" x14ac:dyDescent="0.2">
      <c r="B109" t="s">
        <v>401</v>
      </c>
      <c r="E109" t="s">
        <v>402</v>
      </c>
    </row>
    <row r="110" spans="2:5" x14ac:dyDescent="0.2">
      <c r="B110" t="s">
        <v>426</v>
      </c>
      <c r="E110" t="s">
        <v>426</v>
      </c>
    </row>
    <row r="111" spans="2:5" x14ac:dyDescent="0.2">
      <c r="B111">
        <v>1</v>
      </c>
      <c r="E111">
        <v>3</v>
      </c>
    </row>
    <row r="112" spans="2:5" x14ac:dyDescent="0.2">
      <c r="B112">
        <v>2</v>
      </c>
      <c r="E112">
        <v>3</v>
      </c>
    </row>
    <row r="113" spans="2:10" x14ac:dyDescent="0.2">
      <c r="B113">
        <v>3</v>
      </c>
      <c r="E113">
        <v>3</v>
      </c>
    </row>
    <row r="114" spans="2:10" x14ac:dyDescent="0.2">
      <c r="B114">
        <v>3</v>
      </c>
      <c r="E114">
        <v>4</v>
      </c>
    </row>
    <row r="115" spans="2:10" x14ac:dyDescent="0.2">
      <c r="B115">
        <v>4</v>
      </c>
      <c r="E115">
        <v>6</v>
      </c>
    </row>
    <row r="116" spans="2:10" x14ac:dyDescent="0.2">
      <c r="B116">
        <v>4</v>
      </c>
      <c r="E116">
        <v>6</v>
      </c>
    </row>
    <row r="117" spans="2:10" x14ac:dyDescent="0.2">
      <c r="B117">
        <v>4</v>
      </c>
      <c r="E117">
        <v>7</v>
      </c>
    </row>
    <row r="118" spans="2:10" x14ac:dyDescent="0.2">
      <c r="B118">
        <v>5</v>
      </c>
    </row>
    <row r="120" spans="2:10" x14ac:dyDescent="0.2">
      <c r="B120" s="58" t="s">
        <v>432</v>
      </c>
      <c r="C120" s="58"/>
      <c r="D120" s="58"/>
      <c r="E120" s="58"/>
    </row>
    <row r="122" spans="2:10" x14ac:dyDescent="0.2">
      <c r="B122" t="s">
        <v>401</v>
      </c>
      <c r="C122" t="s">
        <v>402</v>
      </c>
    </row>
    <row r="123" spans="2:10" x14ac:dyDescent="0.2">
      <c r="B123" t="s">
        <v>426</v>
      </c>
      <c r="C123" t="s">
        <v>426</v>
      </c>
    </row>
    <row r="124" spans="2:10" x14ac:dyDescent="0.2">
      <c r="B124">
        <v>1</v>
      </c>
      <c r="C124" t="s">
        <v>55</v>
      </c>
      <c r="E124">
        <v>1</v>
      </c>
      <c r="F124" t="s">
        <v>55</v>
      </c>
      <c r="H124">
        <v>12</v>
      </c>
      <c r="I124">
        <v>9</v>
      </c>
      <c r="J124">
        <v>0</v>
      </c>
    </row>
    <row r="125" spans="2:10" x14ac:dyDescent="0.2">
      <c r="B125">
        <v>2</v>
      </c>
      <c r="C125" t="s">
        <v>55</v>
      </c>
      <c r="E125">
        <v>2</v>
      </c>
      <c r="F125" t="s">
        <v>55</v>
      </c>
    </row>
    <row r="126" spans="2:10" x14ac:dyDescent="0.2">
      <c r="B126">
        <v>3</v>
      </c>
      <c r="C126">
        <v>3</v>
      </c>
      <c r="E126">
        <v>5</v>
      </c>
      <c r="F126" t="s">
        <v>55</v>
      </c>
    </row>
    <row r="127" spans="2:10" x14ac:dyDescent="0.2">
      <c r="B127">
        <v>3</v>
      </c>
      <c r="C127">
        <v>3</v>
      </c>
    </row>
    <row r="128" spans="2:10" x14ac:dyDescent="0.2">
      <c r="B128">
        <v>3</v>
      </c>
      <c r="C128">
        <v>3</v>
      </c>
    </row>
    <row r="129" spans="2:11" x14ac:dyDescent="0.2">
      <c r="B129">
        <v>3</v>
      </c>
      <c r="C129">
        <v>3</v>
      </c>
    </row>
    <row r="130" spans="2:11" x14ac:dyDescent="0.2">
      <c r="B130">
        <v>3</v>
      </c>
      <c r="C130">
        <v>3</v>
      </c>
    </row>
    <row r="131" spans="2:11" x14ac:dyDescent="0.2">
      <c r="B131">
        <v>3</v>
      </c>
      <c r="C131">
        <v>3</v>
      </c>
    </row>
    <row r="132" spans="2:11" x14ac:dyDescent="0.2">
      <c r="B132">
        <v>4</v>
      </c>
      <c r="C132">
        <v>4</v>
      </c>
    </row>
    <row r="133" spans="2:11" x14ac:dyDescent="0.2">
      <c r="B133">
        <v>4</v>
      </c>
      <c r="C133">
        <v>4</v>
      </c>
    </row>
    <row r="134" spans="2:11" x14ac:dyDescent="0.2">
      <c r="B134">
        <v>4</v>
      </c>
      <c r="C134">
        <v>4</v>
      </c>
    </row>
    <row r="135" spans="2:11" x14ac:dyDescent="0.2">
      <c r="B135">
        <v>5</v>
      </c>
      <c r="C135" t="s">
        <v>55</v>
      </c>
    </row>
    <row r="139" spans="2:11" x14ac:dyDescent="0.2">
      <c r="B139" t="s">
        <v>401</v>
      </c>
      <c r="E139" t="s">
        <v>402</v>
      </c>
      <c r="H139" t="s">
        <v>401</v>
      </c>
      <c r="K139" t="s">
        <v>402</v>
      </c>
    </row>
    <row r="140" spans="2:11" x14ac:dyDescent="0.2">
      <c r="B140" t="s">
        <v>426</v>
      </c>
      <c r="E140" t="s">
        <v>426</v>
      </c>
      <c r="H140" t="s">
        <v>426</v>
      </c>
      <c r="K140" t="s">
        <v>426</v>
      </c>
    </row>
    <row r="141" spans="2:11" x14ac:dyDescent="0.2">
      <c r="B141">
        <v>1</v>
      </c>
      <c r="E141">
        <v>3</v>
      </c>
      <c r="H141">
        <v>1</v>
      </c>
      <c r="K141">
        <v>3</v>
      </c>
    </row>
    <row r="142" spans="2:11" x14ac:dyDescent="0.2">
      <c r="B142">
        <v>2</v>
      </c>
      <c r="E142">
        <v>3</v>
      </c>
      <c r="H142">
        <v>2</v>
      </c>
      <c r="K142">
        <v>3</v>
      </c>
    </row>
    <row r="143" spans="2:11" x14ac:dyDescent="0.2">
      <c r="B143">
        <v>3</v>
      </c>
      <c r="E143">
        <v>3</v>
      </c>
      <c r="H143">
        <v>3</v>
      </c>
      <c r="K143">
        <v>3</v>
      </c>
    </row>
    <row r="144" spans="2:11" x14ac:dyDescent="0.2">
      <c r="B144">
        <v>3</v>
      </c>
      <c r="E144">
        <v>4</v>
      </c>
      <c r="H144">
        <v>3</v>
      </c>
      <c r="K144">
        <v>4</v>
      </c>
    </row>
    <row r="145" spans="2:11" x14ac:dyDescent="0.2">
      <c r="B145">
        <v>4</v>
      </c>
      <c r="E145">
        <v>6</v>
      </c>
      <c r="H145">
        <v>4</v>
      </c>
      <c r="K145">
        <v>6</v>
      </c>
    </row>
    <row r="146" spans="2:11" x14ac:dyDescent="0.2">
      <c r="B146">
        <v>4</v>
      </c>
      <c r="E146">
        <v>6</v>
      </c>
      <c r="H146">
        <v>4</v>
      </c>
      <c r="K146">
        <v>6</v>
      </c>
    </row>
    <row r="147" spans="2:11" x14ac:dyDescent="0.2">
      <c r="B147">
        <v>4</v>
      </c>
      <c r="E147">
        <v>7</v>
      </c>
      <c r="H147">
        <v>4</v>
      </c>
      <c r="K147">
        <v>7</v>
      </c>
    </row>
    <row r="148" spans="2:11" x14ac:dyDescent="0.2">
      <c r="B148">
        <v>5</v>
      </c>
      <c r="H148">
        <v>5</v>
      </c>
    </row>
    <row r="150" spans="2:11" x14ac:dyDescent="0.2">
      <c r="B150" s="58" t="s">
        <v>433</v>
      </c>
      <c r="C150" s="58"/>
      <c r="D150" s="58"/>
      <c r="E150" s="58"/>
    </row>
    <row r="151" spans="2:11" x14ac:dyDescent="0.2">
      <c r="B151" s="58" t="s">
        <v>434</v>
      </c>
      <c r="C151" s="58"/>
      <c r="D151" s="58"/>
      <c r="E151" s="58"/>
    </row>
    <row r="153" spans="2:11" x14ac:dyDescent="0.2">
      <c r="B153" t="s">
        <v>401</v>
      </c>
      <c r="C153" t="s">
        <v>402</v>
      </c>
    </row>
    <row r="154" spans="2:11" x14ac:dyDescent="0.2">
      <c r="B154" t="s">
        <v>426</v>
      </c>
      <c r="C154" t="s">
        <v>426</v>
      </c>
    </row>
    <row r="155" spans="2:11" x14ac:dyDescent="0.2">
      <c r="B155">
        <v>3</v>
      </c>
      <c r="C155">
        <v>3</v>
      </c>
    </row>
    <row r="156" spans="2:11" x14ac:dyDescent="0.2">
      <c r="B156">
        <v>3</v>
      </c>
      <c r="C156">
        <v>3</v>
      </c>
    </row>
    <row r="157" spans="2:11" x14ac:dyDescent="0.2">
      <c r="B157">
        <v>3</v>
      </c>
      <c r="C157">
        <v>3</v>
      </c>
    </row>
    <row r="158" spans="2:11" x14ac:dyDescent="0.2">
      <c r="B158">
        <v>3</v>
      </c>
      <c r="C158">
        <v>3</v>
      </c>
    </row>
    <row r="159" spans="2:11" x14ac:dyDescent="0.2">
      <c r="B159">
        <v>3</v>
      </c>
      <c r="C159">
        <v>3</v>
      </c>
    </row>
    <row r="160" spans="2:11" x14ac:dyDescent="0.2">
      <c r="B160">
        <v>3</v>
      </c>
      <c r="C160">
        <v>3</v>
      </c>
    </row>
    <row r="161" spans="2:5" x14ac:dyDescent="0.2">
      <c r="B161">
        <v>4</v>
      </c>
      <c r="C161">
        <v>4</v>
      </c>
    </row>
    <row r="162" spans="2:5" x14ac:dyDescent="0.2">
      <c r="B162">
        <v>4</v>
      </c>
      <c r="C162">
        <v>4</v>
      </c>
    </row>
    <row r="163" spans="2:5" x14ac:dyDescent="0.2">
      <c r="B163">
        <v>4</v>
      </c>
      <c r="C163">
        <v>4</v>
      </c>
    </row>
    <row r="164" spans="2:5" x14ac:dyDescent="0.2">
      <c r="B164" t="s">
        <v>55</v>
      </c>
      <c r="C164">
        <v>6</v>
      </c>
    </row>
    <row r="165" spans="2:5" x14ac:dyDescent="0.2">
      <c r="B165" t="s">
        <v>55</v>
      </c>
      <c r="C165">
        <v>6</v>
      </c>
    </row>
    <row r="166" spans="2:5" x14ac:dyDescent="0.2">
      <c r="B166" t="s">
        <v>55</v>
      </c>
      <c r="C166">
        <v>7</v>
      </c>
    </row>
    <row r="168" spans="2:5" x14ac:dyDescent="0.2">
      <c r="B168" s="58" t="s">
        <v>435</v>
      </c>
      <c r="C168" s="58"/>
      <c r="D168" s="58"/>
      <c r="E168" s="58"/>
    </row>
    <row r="170" spans="2:5" x14ac:dyDescent="0.2">
      <c r="B170" t="s">
        <v>401</v>
      </c>
      <c r="C170" t="s">
        <v>402</v>
      </c>
    </row>
    <row r="171" spans="2:5" x14ac:dyDescent="0.2">
      <c r="B171" t="s">
        <v>426</v>
      </c>
      <c r="C171" t="s">
        <v>426</v>
      </c>
    </row>
    <row r="172" spans="2:5" x14ac:dyDescent="0.2">
      <c r="B172" s="43">
        <v>1</v>
      </c>
      <c r="C172" s="43" t="s">
        <v>55</v>
      </c>
      <c r="E172" s="45"/>
    </row>
    <row r="173" spans="2:5" x14ac:dyDescent="0.2">
      <c r="B173" s="43">
        <v>2</v>
      </c>
      <c r="C173" s="43" t="s">
        <v>55</v>
      </c>
      <c r="E173" s="45"/>
    </row>
    <row r="174" spans="2:5" x14ac:dyDescent="0.2">
      <c r="B174" s="45">
        <v>3</v>
      </c>
      <c r="C174" s="45">
        <v>3</v>
      </c>
    </row>
    <row r="175" spans="2:5" x14ac:dyDescent="0.2">
      <c r="B175" s="45">
        <v>3</v>
      </c>
      <c r="C175" s="45">
        <v>3</v>
      </c>
    </row>
    <row r="176" spans="2:5" x14ac:dyDescent="0.2">
      <c r="B176" s="45">
        <v>3</v>
      </c>
      <c r="C176" s="45">
        <v>3</v>
      </c>
    </row>
    <row r="177" spans="2:5" x14ac:dyDescent="0.2">
      <c r="B177" s="45">
        <v>3</v>
      </c>
      <c r="C177" s="45">
        <v>3</v>
      </c>
    </row>
    <row r="178" spans="2:5" x14ac:dyDescent="0.2">
      <c r="B178" s="45">
        <v>3</v>
      </c>
      <c r="C178" s="45">
        <v>3</v>
      </c>
    </row>
    <row r="179" spans="2:5" x14ac:dyDescent="0.2">
      <c r="B179" s="45">
        <v>3</v>
      </c>
      <c r="C179" s="45">
        <v>3</v>
      </c>
    </row>
    <row r="180" spans="2:5" x14ac:dyDescent="0.2">
      <c r="B180" s="45">
        <v>4</v>
      </c>
      <c r="C180" s="45">
        <v>4</v>
      </c>
    </row>
    <row r="181" spans="2:5" x14ac:dyDescent="0.2">
      <c r="B181" s="45">
        <v>4</v>
      </c>
      <c r="C181" s="45">
        <v>4</v>
      </c>
    </row>
    <row r="182" spans="2:5" x14ac:dyDescent="0.2">
      <c r="B182" s="45">
        <v>4</v>
      </c>
      <c r="C182" s="45">
        <v>4</v>
      </c>
    </row>
    <row r="183" spans="2:5" x14ac:dyDescent="0.2">
      <c r="B183" s="43">
        <v>5</v>
      </c>
      <c r="C183" s="43" t="s">
        <v>55</v>
      </c>
      <c r="E183" s="45"/>
    </row>
    <row r="184" spans="2:5" x14ac:dyDescent="0.2">
      <c r="B184" s="44" t="s">
        <v>55</v>
      </c>
      <c r="C184" s="44">
        <v>6</v>
      </c>
      <c r="E184" s="45"/>
    </row>
    <row r="185" spans="2:5" x14ac:dyDescent="0.2">
      <c r="B185" s="44" t="s">
        <v>55</v>
      </c>
      <c r="C185" s="44">
        <v>6</v>
      </c>
      <c r="E185" s="45"/>
    </row>
    <row r="186" spans="2:5" x14ac:dyDescent="0.2">
      <c r="B186" s="44" t="s">
        <v>55</v>
      </c>
      <c r="C186" s="44">
        <v>7</v>
      </c>
      <c r="E186" s="45"/>
    </row>
    <row r="188" spans="2:5" x14ac:dyDescent="0.2">
      <c r="C188" t="s">
        <v>404</v>
      </c>
      <c r="E188" t="s">
        <v>437</v>
      </c>
    </row>
    <row r="189" spans="2:5" x14ac:dyDescent="0.2">
      <c r="C189" t="s">
        <v>408</v>
      </c>
      <c r="E189" t="s">
        <v>438</v>
      </c>
    </row>
    <row r="190" spans="2:5" x14ac:dyDescent="0.2">
      <c r="C190" t="s">
        <v>409</v>
      </c>
      <c r="E190" t="s">
        <v>439</v>
      </c>
    </row>
    <row r="191" spans="2:5" x14ac:dyDescent="0.2">
      <c r="C191" t="s">
        <v>436</v>
      </c>
      <c r="E191" t="s">
        <v>440</v>
      </c>
    </row>
    <row r="193" spans="2:10" ht="17" thickBot="1" x14ac:dyDescent="0.25"/>
    <row r="194" spans="2:10" x14ac:dyDescent="0.2">
      <c r="F194" s="46"/>
      <c r="G194" s="46"/>
      <c r="H194" s="46"/>
      <c r="I194" s="46"/>
      <c r="J194" s="46"/>
    </row>
    <row r="195" spans="2:10" x14ac:dyDescent="0.2">
      <c r="F195" s="47"/>
      <c r="G195" s="47"/>
      <c r="H195" s="47"/>
      <c r="I195" s="47"/>
      <c r="J195" s="47"/>
    </row>
    <row r="196" spans="2:10" x14ac:dyDescent="0.2">
      <c r="F196" s="47"/>
      <c r="G196" s="47"/>
      <c r="H196" s="47"/>
      <c r="I196" s="47"/>
      <c r="J196" s="47"/>
    </row>
    <row r="197" spans="2:10" x14ac:dyDescent="0.2">
      <c r="F197" s="47"/>
      <c r="G197" s="47"/>
      <c r="H197" s="47"/>
      <c r="I197" s="47"/>
      <c r="J197" s="47"/>
    </row>
    <row r="198" spans="2:10" x14ac:dyDescent="0.2">
      <c r="F198" s="47"/>
      <c r="G198" s="47"/>
      <c r="H198" s="47"/>
      <c r="I198" s="47"/>
      <c r="J198" s="47"/>
    </row>
    <row r="199" spans="2:10" x14ac:dyDescent="0.2">
      <c r="F199" s="47"/>
      <c r="G199" s="47"/>
      <c r="H199" s="47"/>
      <c r="I199" s="47"/>
      <c r="J199" s="47"/>
    </row>
    <row r="200" spans="2:10" x14ac:dyDescent="0.2">
      <c r="F200" s="47"/>
      <c r="G200" s="47"/>
      <c r="H200" s="47"/>
      <c r="I200" s="47"/>
      <c r="J200" s="47"/>
    </row>
    <row r="201" spans="2:10" ht="17" thickBot="1" x14ac:dyDescent="0.25">
      <c r="F201" s="48"/>
      <c r="G201" s="48"/>
      <c r="H201" s="48"/>
      <c r="I201" s="48"/>
      <c r="J201" s="48"/>
    </row>
    <row r="206" spans="2:10" x14ac:dyDescent="0.2">
      <c r="B206" t="s">
        <v>328</v>
      </c>
      <c r="C206" t="s">
        <v>67</v>
      </c>
      <c r="D206" t="s">
        <v>68</v>
      </c>
    </row>
    <row r="207" spans="2:10" x14ac:dyDescent="0.2">
      <c r="B207" t="s">
        <v>441</v>
      </c>
      <c r="C207" t="s">
        <v>442</v>
      </c>
    </row>
    <row r="208" spans="2:10" x14ac:dyDescent="0.2">
      <c r="B208" t="s">
        <v>443</v>
      </c>
      <c r="C208" t="s">
        <v>71</v>
      </c>
      <c r="D208" t="s">
        <v>444</v>
      </c>
      <c r="E208" t="s">
        <v>446</v>
      </c>
      <c r="F208" t="s">
        <v>445</v>
      </c>
    </row>
  </sheetData>
  <mergeCells count="10">
    <mergeCell ref="B120:E120"/>
    <mergeCell ref="B150:E150"/>
    <mergeCell ref="B151:E151"/>
    <mergeCell ref="B168:E168"/>
    <mergeCell ref="H8:H11"/>
    <mergeCell ref="K8:K11"/>
    <mergeCell ref="B34:B43"/>
    <mergeCell ref="B48:B52"/>
    <mergeCell ref="D47:H47"/>
    <mergeCell ref="B93:E9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AEA7-3B74-FF4B-9F1E-8DEB49185E92}">
  <dimension ref="B2:K148"/>
  <sheetViews>
    <sheetView topLeftCell="A127" zoomScale="200" zoomScaleNormal="200" workbookViewId="0">
      <selection activeCell="K135" sqref="K135:K140"/>
    </sheetView>
  </sheetViews>
  <sheetFormatPr baseColWidth="10" defaultRowHeight="16" x14ac:dyDescent="0.2"/>
  <cols>
    <col min="2" max="2" width="11.83203125" bestFit="1" customWidth="1"/>
    <col min="3" max="3" width="6.83203125" bestFit="1" customWidth="1"/>
    <col min="4" max="4" width="15.1640625" bestFit="1" customWidth="1"/>
    <col min="5" max="5" width="12.6640625" bestFit="1" customWidth="1"/>
    <col min="6" max="6" width="8.6640625" bestFit="1" customWidth="1"/>
    <col min="8" max="8" width="12.33203125" bestFit="1" customWidth="1"/>
  </cols>
  <sheetData>
    <row r="2" spans="2:9" x14ac:dyDescent="0.2">
      <c r="B2" t="s">
        <v>449</v>
      </c>
    </row>
    <row r="4" spans="2:9" x14ac:dyDescent="0.2">
      <c r="C4" t="s">
        <v>401</v>
      </c>
      <c r="E4" t="s">
        <v>402</v>
      </c>
    </row>
    <row r="6" spans="2:9" x14ac:dyDescent="0.2">
      <c r="D6" t="s">
        <v>450</v>
      </c>
    </row>
    <row r="8" spans="2:9" x14ac:dyDescent="0.2">
      <c r="C8" t="s">
        <v>401</v>
      </c>
      <c r="F8" t="s">
        <v>402</v>
      </c>
      <c r="H8" t="s">
        <v>451</v>
      </c>
      <c r="I8">
        <v>9</v>
      </c>
    </row>
    <row r="9" spans="2:9" x14ac:dyDescent="0.2">
      <c r="C9" t="s">
        <v>426</v>
      </c>
      <c r="F9" t="s">
        <v>426</v>
      </c>
      <c r="H9" t="s">
        <v>428</v>
      </c>
      <c r="I9">
        <v>12</v>
      </c>
    </row>
    <row r="10" spans="2:9" x14ac:dyDescent="0.2">
      <c r="C10">
        <v>1</v>
      </c>
      <c r="F10">
        <v>3</v>
      </c>
      <c r="H10" t="s">
        <v>429</v>
      </c>
      <c r="I10">
        <v>12</v>
      </c>
    </row>
    <row r="11" spans="2:9" x14ac:dyDescent="0.2">
      <c r="C11">
        <v>2</v>
      </c>
      <c r="F11">
        <v>3</v>
      </c>
      <c r="H11" t="s">
        <v>452</v>
      </c>
      <c r="I11">
        <v>15</v>
      </c>
    </row>
    <row r="12" spans="2:9" x14ac:dyDescent="0.2">
      <c r="C12">
        <v>3</v>
      </c>
      <c r="F12">
        <v>3</v>
      </c>
    </row>
    <row r="13" spans="2:9" x14ac:dyDescent="0.2">
      <c r="C13">
        <v>3</v>
      </c>
      <c r="F13">
        <v>4</v>
      </c>
    </row>
    <row r="14" spans="2:9" x14ac:dyDescent="0.2">
      <c r="C14">
        <v>4</v>
      </c>
      <c r="F14">
        <v>6</v>
      </c>
    </row>
    <row r="15" spans="2:9" x14ac:dyDescent="0.2">
      <c r="C15">
        <v>4</v>
      </c>
      <c r="F15">
        <v>6</v>
      </c>
    </row>
    <row r="16" spans="2:9" x14ac:dyDescent="0.2">
      <c r="C16">
        <v>4</v>
      </c>
      <c r="F16">
        <v>7</v>
      </c>
    </row>
    <row r="17" spans="3:9" x14ac:dyDescent="0.2">
      <c r="C17">
        <v>5</v>
      </c>
    </row>
    <row r="20" spans="3:9" x14ac:dyDescent="0.2">
      <c r="C20" t="s">
        <v>402</v>
      </c>
      <c r="F20" t="s">
        <v>402</v>
      </c>
    </row>
    <row r="21" spans="3:9" x14ac:dyDescent="0.2">
      <c r="C21" t="s">
        <v>426</v>
      </c>
      <c r="F21" t="s">
        <v>426</v>
      </c>
    </row>
    <row r="22" spans="3:9" x14ac:dyDescent="0.2">
      <c r="C22">
        <v>3</v>
      </c>
      <c r="D22">
        <v>3</v>
      </c>
      <c r="F22">
        <v>3</v>
      </c>
      <c r="H22" t="s">
        <v>451</v>
      </c>
      <c r="I22">
        <f>SUM(D22:D28)</f>
        <v>15</v>
      </c>
    </row>
    <row r="23" spans="3:9" x14ac:dyDescent="0.2">
      <c r="C23">
        <v>3</v>
      </c>
      <c r="D23">
        <v>3</v>
      </c>
      <c r="F23">
        <v>3</v>
      </c>
      <c r="H23" t="s">
        <v>428</v>
      </c>
      <c r="I23">
        <v>15</v>
      </c>
    </row>
    <row r="24" spans="3:9" x14ac:dyDescent="0.2">
      <c r="C24">
        <v>3</v>
      </c>
      <c r="D24">
        <v>3</v>
      </c>
      <c r="F24">
        <v>3</v>
      </c>
      <c r="H24" t="s">
        <v>429</v>
      </c>
      <c r="I24">
        <v>15</v>
      </c>
    </row>
    <row r="25" spans="3:9" x14ac:dyDescent="0.2">
      <c r="C25">
        <v>4</v>
      </c>
      <c r="D25">
        <v>1</v>
      </c>
      <c r="F25">
        <v>4</v>
      </c>
      <c r="H25" t="s">
        <v>452</v>
      </c>
      <c r="I25">
        <v>15</v>
      </c>
    </row>
    <row r="26" spans="3:9" x14ac:dyDescent="0.2">
      <c r="C26">
        <v>6</v>
      </c>
      <c r="D26">
        <v>2</v>
      </c>
      <c r="F26">
        <v>6</v>
      </c>
    </row>
    <row r="27" spans="3:9" x14ac:dyDescent="0.2">
      <c r="C27">
        <v>6</v>
      </c>
      <c r="D27">
        <v>2</v>
      </c>
      <c r="F27">
        <v>6</v>
      </c>
    </row>
    <row r="28" spans="3:9" x14ac:dyDescent="0.2">
      <c r="C28">
        <v>7</v>
      </c>
      <c r="D28">
        <v>1</v>
      </c>
      <c r="F28">
        <v>7</v>
      </c>
    </row>
    <row r="32" spans="3:9" x14ac:dyDescent="0.2">
      <c r="C32" t="s">
        <v>402</v>
      </c>
      <c r="F32" t="s">
        <v>402</v>
      </c>
      <c r="H32" t="s">
        <v>453</v>
      </c>
    </row>
    <row r="33" spans="2:8" x14ac:dyDescent="0.2">
      <c r="C33" t="s">
        <v>426</v>
      </c>
      <c r="F33" t="s">
        <v>426</v>
      </c>
    </row>
    <row r="34" spans="2:8" x14ac:dyDescent="0.2">
      <c r="C34">
        <v>1</v>
      </c>
      <c r="D34">
        <v>2</v>
      </c>
      <c r="F34">
        <v>1</v>
      </c>
      <c r="H34" t="s">
        <v>451</v>
      </c>
    </row>
    <row r="35" spans="2:8" x14ac:dyDescent="0.2">
      <c r="C35">
        <v>2</v>
      </c>
      <c r="D35">
        <v>2</v>
      </c>
      <c r="F35">
        <v>2</v>
      </c>
      <c r="H35" t="s">
        <v>428</v>
      </c>
    </row>
    <row r="36" spans="2:8" x14ac:dyDescent="0.2">
      <c r="C36">
        <v>3</v>
      </c>
      <c r="D36">
        <v>2</v>
      </c>
      <c r="F36">
        <v>3</v>
      </c>
      <c r="H36" t="s">
        <v>429</v>
      </c>
    </row>
    <row r="37" spans="2:8" x14ac:dyDescent="0.2">
      <c r="C37">
        <v>1</v>
      </c>
      <c r="D37">
        <v>2</v>
      </c>
      <c r="F37">
        <v>1</v>
      </c>
      <c r="H37" t="s">
        <v>452</v>
      </c>
    </row>
    <row r="38" spans="2:8" x14ac:dyDescent="0.2">
      <c r="C38">
        <v>2</v>
      </c>
      <c r="D38">
        <v>2</v>
      </c>
      <c r="F38">
        <v>2</v>
      </c>
    </row>
    <row r="39" spans="2:8" x14ac:dyDescent="0.2">
      <c r="C39">
        <v>3</v>
      </c>
      <c r="D39">
        <v>2</v>
      </c>
      <c r="F39">
        <v>3</v>
      </c>
    </row>
    <row r="40" spans="2:8" x14ac:dyDescent="0.2">
      <c r="C40">
        <v>4</v>
      </c>
      <c r="D40">
        <v>1</v>
      </c>
      <c r="F40">
        <v>4</v>
      </c>
    </row>
    <row r="41" spans="2:8" x14ac:dyDescent="0.2">
      <c r="C41">
        <v>5</v>
      </c>
      <c r="D41">
        <v>1</v>
      </c>
      <c r="F41">
        <v>5</v>
      </c>
    </row>
    <row r="44" spans="2:8" x14ac:dyDescent="0.2">
      <c r="B44" s="58" t="s">
        <v>454</v>
      </c>
      <c r="C44" s="58"/>
      <c r="D44" s="58"/>
      <c r="E44" s="58"/>
      <c r="F44" s="58"/>
    </row>
    <row r="45" spans="2:8" x14ac:dyDescent="0.2">
      <c r="B45" s="58"/>
      <c r="C45" s="58"/>
      <c r="D45" s="58"/>
      <c r="E45" s="58"/>
      <c r="F45" s="58"/>
    </row>
    <row r="48" spans="2:8" x14ac:dyDescent="0.2">
      <c r="B48" t="s">
        <v>455</v>
      </c>
      <c r="C48" t="s">
        <v>363</v>
      </c>
      <c r="D48" t="s">
        <v>362</v>
      </c>
      <c r="F48" t="s">
        <v>455</v>
      </c>
      <c r="G48" t="s">
        <v>363</v>
      </c>
      <c r="H48" t="s">
        <v>362</v>
      </c>
    </row>
    <row r="49" spans="2:8" x14ac:dyDescent="0.2">
      <c r="B49">
        <v>1</v>
      </c>
      <c r="C49" t="s">
        <v>30</v>
      </c>
      <c r="D49">
        <v>1</v>
      </c>
      <c r="F49">
        <v>1</v>
      </c>
      <c r="G49" t="s">
        <v>30</v>
      </c>
      <c r="H49">
        <v>1</v>
      </c>
    </row>
    <row r="50" spans="2:8" x14ac:dyDescent="0.2">
      <c r="B50">
        <v>2</v>
      </c>
      <c r="C50" t="s">
        <v>238</v>
      </c>
      <c r="D50">
        <v>1</v>
      </c>
      <c r="F50">
        <v>2</v>
      </c>
      <c r="G50" t="s">
        <v>238</v>
      </c>
      <c r="H50">
        <v>1</v>
      </c>
    </row>
    <row r="51" spans="2:8" x14ac:dyDescent="0.2">
      <c r="B51">
        <v>3</v>
      </c>
      <c r="C51" t="s">
        <v>240</v>
      </c>
      <c r="D51">
        <v>1</v>
      </c>
      <c r="F51">
        <v>3</v>
      </c>
      <c r="G51" t="s">
        <v>240</v>
      </c>
      <c r="H51">
        <v>1</v>
      </c>
    </row>
    <row r="52" spans="2:8" x14ac:dyDescent="0.2">
      <c r="B52">
        <v>4</v>
      </c>
      <c r="C52" t="s">
        <v>242</v>
      </c>
      <c r="D52">
        <v>1</v>
      </c>
      <c r="F52">
        <v>4</v>
      </c>
      <c r="G52" t="s">
        <v>242</v>
      </c>
      <c r="H52">
        <v>1</v>
      </c>
    </row>
    <row r="53" spans="2:8" x14ac:dyDescent="0.2">
      <c r="B53">
        <v>5</v>
      </c>
      <c r="C53" t="s">
        <v>244</v>
      </c>
      <c r="D53">
        <v>1</v>
      </c>
      <c r="F53">
        <v>5</v>
      </c>
      <c r="G53" t="s">
        <v>244</v>
      </c>
      <c r="H53">
        <v>1</v>
      </c>
    </row>
    <row r="55" spans="2:8" x14ac:dyDescent="0.2">
      <c r="B55" s="51" t="s">
        <v>30</v>
      </c>
      <c r="C55" s="51">
        <v>1</v>
      </c>
      <c r="D55" s="51" t="s">
        <v>30</v>
      </c>
      <c r="E55" s="51">
        <v>1</v>
      </c>
    </row>
    <row r="56" spans="2:8" x14ac:dyDescent="0.2">
      <c r="B56" t="s">
        <v>30</v>
      </c>
      <c r="C56">
        <v>1</v>
      </c>
      <c r="D56" t="s">
        <v>238</v>
      </c>
      <c r="E56">
        <v>1</v>
      </c>
    </row>
    <row r="57" spans="2:8" x14ac:dyDescent="0.2">
      <c r="B57" t="s">
        <v>30</v>
      </c>
      <c r="C57">
        <v>1</v>
      </c>
      <c r="D57" t="s">
        <v>240</v>
      </c>
      <c r="E57">
        <v>1</v>
      </c>
    </row>
    <row r="58" spans="2:8" x14ac:dyDescent="0.2">
      <c r="B58" t="s">
        <v>30</v>
      </c>
      <c r="C58">
        <v>1</v>
      </c>
      <c r="D58" t="s">
        <v>242</v>
      </c>
      <c r="E58">
        <v>1</v>
      </c>
    </row>
    <row r="59" spans="2:8" x14ac:dyDescent="0.2">
      <c r="B59" t="s">
        <v>30</v>
      </c>
      <c r="C59">
        <v>1</v>
      </c>
      <c r="D59" t="s">
        <v>244</v>
      </c>
      <c r="E59">
        <v>1</v>
      </c>
    </row>
    <row r="60" spans="2:8" x14ac:dyDescent="0.2">
      <c r="B60" s="51" t="s">
        <v>238</v>
      </c>
      <c r="C60" s="51">
        <v>1</v>
      </c>
      <c r="D60" s="51" t="s">
        <v>30</v>
      </c>
      <c r="E60" s="51">
        <v>1</v>
      </c>
    </row>
    <row r="61" spans="2:8" x14ac:dyDescent="0.2">
      <c r="B61" s="51" t="s">
        <v>238</v>
      </c>
      <c r="C61" s="51">
        <v>1</v>
      </c>
      <c r="D61" s="51" t="s">
        <v>238</v>
      </c>
      <c r="E61" s="51">
        <v>1</v>
      </c>
    </row>
    <row r="62" spans="2:8" x14ac:dyDescent="0.2">
      <c r="B62" t="s">
        <v>238</v>
      </c>
      <c r="C62">
        <v>1</v>
      </c>
      <c r="D62" t="s">
        <v>240</v>
      </c>
      <c r="E62">
        <v>1</v>
      </c>
    </row>
    <row r="63" spans="2:8" x14ac:dyDescent="0.2">
      <c r="B63" t="s">
        <v>238</v>
      </c>
      <c r="C63">
        <v>1</v>
      </c>
      <c r="D63" t="s">
        <v>242</v>
      </c>
      <c r="E63">
        <v>1</v>
      </c>
    </row>
    <row r="64" spans="2:8" x14ac:dyDescent="0.2">
      <c r="B64" t="s">
        <v>238</v>
      </c>
      <c r="C64">
        <v>1</v>
      </c>
      <c r="D64" t="s">
        <v>244</v>
      </c>
      <c r="E64">
        <v>1</v>
      </c>
    </row>
    <row r="66" spans="2:10" x14ac:dyDescent="0.2">
      <c r="B66" t="s">
        <v>455</v>
      </c>
      <c r="C66" t="s">
        <v>363</v>
      </c>
      <c r="D66" t="s">
        <v>362</v>
      </c>
      <c r="F66" t="s">
        <v>455</v>
      </c>
      <c r="G66" t="s">
        <v>363</v>
      </c>
      <c r="H66" t="s">
        <v>362</v>
      </c>
      <c r="J66" t="s">
        <v>456</v>
      </c>
    </row>
    <row r="67" spans="2:10" x14ac:dyDescent="0.2">
      <c r="B67">
        <v>1</v>
      </c>
      <c r="C67" t="s">
        <v>30</v>
      </c>
      <c r="D67">
        <v>1</v>
      </c>
      <c r="F67">
        <v>1</v>
      </c>
      <c r="G67" t="s">
        <v>30</v>
      </c>
      <c r="H67">
        <v>1</v>
      </c>
      <c r="J67" t="s">
        <v>457</v>
      </c>
    </row>
    <row r="68" spans="2:10" x14ac:dyDescent="0.2">
      <c r="B68">
        <v>2</v>
      </c>
      <c r="C68" t="s">
        <v>238</v>
      </c>
      <c r="D68">
        <v>1</v>
      </c>
      <c r="F68">
        <v>2</v>
      </c>
      <c r="G68" t="s">
        <v>238</v>
      </c>
      <c r="H68">
        <v>1</v>
      </c>
    </row>
    <row r="69" spans="2:10" x14ac:dyDescent="0.2">
      <c r="B69">
        <v>3</v>
      </c>
      <c r="C69" t="s">
        <v>240</v>
      </c>
      <c r="D69">
        <v>1</v>
      </c>
      <c r="F69">
        <v>3</v>
      </c>
      <c r="G69" t="s">
        <v>240</v>
      </c>
      <c r="H69">
        <v>1</v>
      </c>
    </row>
    <row r="70" spans="2:10" x14ac:dyDescent="0.2">
      <c r="B70">
        <v>4</v>
      </c>
      <c r="C70" t="s">
        <v>242</v>
      </c>
      <c r="D70">
        <v>1</v>
      </c>
      <c r="F70">
        <v>4</v>
      </c>
      <c r="G70" t="s">
        <v>242</v>
      </c>
      <c r="H70">
        <v>1</v>
      </c>
    </row>
    <row r="71" spans="2:10" x14ac:dyDescent="0.2">
      <c r="B71">
        <v>5</v>
      </c>
      <c r="C71" t="s">
        <v>244</v>
      </c>
      <c r="D71">
        <v>1</v>
      </c>
      <c r="F71">
        <v>5</v>
      </c>
      <c r="G71" t="s">
        <v>244</v>
      </c>
      <c r="H71">
        <v>1</v>
      </c>
    </row>
    <row r="73" spans="2:10" x14ac:dyDescent="0.2">
      <c r="B73" t="s">
        <v>455</v>
      </c>
      <c r="C73" t="s">
        <v>363</v>
      </c>
      <c r="D73" t="s">
        <v>362</v>
      </c>
      <c r="E73" t="s">
        <v>455</v>
      </c>
      <c r="F73" t="s">
        <v>363</v>
      </c>
      <c r="G73" t="s">
        <v>362</v>
      </c>
    </row>
    <row r="74" spans="2:10" x14ac:dyDescent="0.2">
      <c r="B74">
        <v>1</v>
      </c>
      <c r="C74" t="s">
        <v>30</v>
      </c>
      <c r="D74">
        <v>1</v>
      </c>
      <c r="E74">
        <v>2</v>
      </c>
      <c r="F74" t="s">
        <v>238</v>
      </c>
      <c r="G74">
        <v>1</v>
      </c>
    </row>
    <row r="75" spans="2:10" x14ac:dyDescent="0.2">
      <c r="B75">
        <v>1</v>
      </c>
      <c r="C75" t="s">
        <v>30</v>
      </c>
      <c r="D75">
        <v>1</v>
      </c>
      <c r="E75">
        <v>3</v>
      </c>
      <c r="F75" t="s">
        <v>240</v>
      </c>
      <c r="G75">
        <v>1</v>
      </c>
    </row>
    <row r="76" spans="2:10" x14ac:dyDescent="0.2">
      <c r="B76">
        <v>1</v>
      </c>
      <c r="C76" t="s">
        <v>30</v>
      </c>
      <c r="D76">
        <v>1</v>
      </c>
      <c r="E76">
        <v>4</v>
      </c>
      <c r="F76" t="s">
        <v>242</v>
      </c>
      <c r="G76">
        <v>1</v>
      </c>
    </row>
    <row r="77" spans="2:10" x14ac:dyDescent="0.2">
      <c r="B77">
        <v>1</v>
      </c>
      <c r="C77" t="s">
        <v>30</v>
      </c>
      <c r="D77">
        <v>1</v>
      </c>
      <c r="E77">
        <v>5</v>
      </c>
      <c r="F77" t="s">
        <v>244</v>
      </c>
      <c r="G77">
        <v>1</v>
      </c>
    </row>
    <row r="78" spans="2:10" x14ac:dyDescent="0.2">
      <c r="B78">
        <v>2</v>
      </c>
      <c r="C78" t="s">
        <v>238</v>
      </c>
      <c r="D78">
        <v>1</v>
      </c>
      <c r="E78">
        <v>3</v>
      </c>
      <c r="F78" t="s">
        <v>240</v>
      </c>
      <c r="G78">
        <v>1</v>
      </c>
    </row>
    <row r="79" spans="2:10" x14ac:dyDescent="0.2">
      <c r="B79">
        <v>2</v>
      </c>
      <c r="C79" t="s">
        <v>238</v>
      </c>
      <c r="D79">
        <v>1</v>
      </c>
      <c r="E79">
        <v>4</v>
      </c>
      <c r="F79" t="s">
        <v>242</v>
      </c>
      <c r="G79">
        <v>1</v>
      </c>
    </row>
    <row r="80" spans="2:10" x14ac:dyDescent="0.2">
      <c r="B80">
        <v>2</v>
      </c>
      <c r="C80" t="s">
        <v>238</v>
      </c>
      <c r="D80">
        <v>1</v>
      </c>
      <c r="E80">
        <v>5</v>
      </c>
      <c r="F80" t="s">
        <v>244</v>
      </c>
      <c r="G80">
        <v>1</v>
      </c>
    </row>
    <row r="81" spans="2:7" x14ac:dyDescent="0.2">
      <c r="B81">
        <v>3</v>
      </c>
      <c r="C81" t="s">
        <v>240</v>
      </c>
      <c r="D81">
        <v>1</v>
      </c>
      <c r="E81">
        <v>4</v>
      </c>
      <c r="F81" t="s">
        <v>242</v>
      </c>
      <c r="G81">
        <v>1</v>
      </c>
    </row>
    <row r="82" spans="2:7" x14ac:dyDescent="0.2">
      <c r="B82">
        <v>3</v>
      </c>
      <c r="C82" t="s">
        <v>240</v>
      </c>
      <c r="D82">
        <v>1</v>
      </c>
      <c r="E82">
        <v>5</v>
      </c>
      <c r="F82" t="s">
        <v>244</v>
      </c>
      <c r="G82">
        <v>1</v>
      </c>
    </row>
    <row r="83" spans="2:7" x14ac:dyDescent="0.2">
      <c r="B83">
        <v>4</v>
      </c>
      <c r="C83" t="s">
        <v>242</v>
      </c>
      <c r="D83">
        <v>1</v>
      </c>
      <c r="E83">
        <v>5</v>
      </c>
      <c r="F83" t="s">
        <v>244</v>
      </c>
      <c r="G83">
        <v>1</v>
      </c>
    </row>
    <row r="85" spans="2:7" s="6" customFormat="1" x14ac:dyDescent="0.2"/>
    <row r="88" spans="2:7" x14ac:dyDescent="0.2">
      <c r="B88" t="s">
        <v>458</v>
      </c>
    </row>
    <row r="90" spans="2:7" x14ac:dyDescent="0.2">
      <c r="C90" t="s">
        <v>459</v>
      </c>
      <c r="E90" t="s">
        <v>461</v>
      </c>
    </row>
    <row r="91" spans="2:7" x14ac:dyDescent="0.2">
      <c r="C91" t="s">
        <v>460</v>
      </c>
      <c r="E91" t="s">
        <v>420</v>
      </c>
    </row>
    <row r="93" spans="2:7" x14ac:dyDescent="0.2">
      <c r="E93" t="s">
        <v>461</v>
      </c>
    </row>
    <row r="94" spans="2:7" x14ac:dyDescent="0.2">
      <c r="G94" t="s">
        <v>450</v>
      </c>
    </row>
    <row r="96" spans="2:7" x14ac:dyDescent="0.2">
      <c r="E96" t="s">
        <v>420</v>
      </c>
    </row>
    <row r="97" spans="5:11" x14ac:dyDescent="0.2">
      <c r="G97" t="s">
        <v>462</v>
      </c>
    </row>
    <row r="98" spans="5:11" x14ac:dyDescent="0.2">
      <c r="G98" t="s">
        <v>463</v>
      </c>
    </row>
    <row r="100" spans="5:11" x14ac:dyDescent="0.2">
      <c r="E100" t="s">
        <v>451</v>
      </c>
    </row>
    <row r="101" spans="5:11" x14ac:dyDescent="0.2">
      <c r="F101" t="s">
        <v>464</v>
      </c>
    </row>
    <row r="103" spans="5:11" x14ac:dyDescent="0.2">
      <c r="E103" t="s">
        <v>428</v>
      </c>
    </row>
    <row r="104" spans="5:11" x14ac:dyDescent="0.2">
      <c r="F104" t="s">
        <v>465</v>
      </c>
    </row>
    <row r="105" spans="5:11" x14ac:dyDescent="0.2">
      <c r="G105" t="s">
        <v>464</v>
      </c>
      <c r="H105" t="s">
        <v>466</v>
      </c>
      <c r="J105" t="s">
        <v>453</v>
      </c>
      <c r="K105" t="s">
        <v>470</v>
      </c>
    </row>
    <row r="107" spans="5:11" x14ac:dyDescent="0.2">
      <c r="E107" t="s">
        <v>467</v>
      </c>
    </row>
    <row r="108" spans="5:11" x14ac:dyDescent="0.2">
      <c r="F108" t="s">
        <v>468</v>
      </c>
    </row>
    <row r="109" spans="5:11" x14ac:dyDescent="0.2">
      <c r="G109" t="s">
        <v>464</v>
      </c>
      <c r="H109" t="s">
        <v>466</v>
      </c>
    </row>
    <row r="111" spans="5:11" x14ac:dyDescent="0.2">
      <c r="E111" t="s">
        <v>440</v>
      </c>
    </row>
    <row r="112" spans="5:11" x14ac:dyDescent="0.2">
      <c r="F112" t="s">
        <v>469</v>
      </c>
    </row>
    <row r="116" spans="2:8" s="6" customFormat="1" x14ac:dyDescent="0.2">
      <c r="B116" s="6" t="s">
        <v>420</v>
      </c>
    </row>
    <row r="118" spans="2:8" x14ac:dyDescent="0.2">
      <c r="C118" s="6"/>
      <c r="D118" s="6"/>
      <c r="F118" s="6"/>
      <c r="G118" s="6"/>
      <c r="H118" s="6"/>
    </row>
    <row r="119" spans="2:8" x14ac:dyDescent="0.2">
      <c r="C119" s="6"/>
      <c r="D119" s="6"/>
      <c r="F119" s="6"/>
      <c r="G119" s="6"/>
      <c r="H119" s="6"/>
    </row>
    <row r="120" spans="2:8" x14ac:dyDescent="0.2">
      <c r="C120" s="6"/>
      <c r="D120" s="6"/>
      <c r="F120" s="6"/>
      <c r="G120" s="6"/>
      <c r="H120" s="6"/>
    </row>
    <row r="121" spans="2:8" x14ac:dyDescent="0.2">
      <c r="C121" s="6"/>
      <c r="D121" s="6"/>
      <c r="F121" s="6"/>
      <c r="G121" s="6"/>
      <c r="H121" s="6"/>
    </row>
    <row r="122" spans="2:8" x14ac:dyDescent="0.2">
      <c r="C122" s="6"/>
      <c r="D122" s="6"/>
      <c r="F122" s="6"/>
      <c r="G122" s="6"/>
      <c r="H122" s="6"/>
    </row>
    <row r="123" spans="2:8" x14ac:dyDescent="0.2">
      <c r="C123" s="6"/>
      <c r="D123" s="6"/>
      <c r="F123" s="6"/>
      <c r="G123" s="6"/>
      <c r="H123" s="6"/>
    </row>
    <row r="124" spans="2:8" x14ac:dyDescent="0.2">
      <c r="C124" s="6"/>
      <c r="D124" s="6"/>
      <c r="F124" s="6"/>
      <c r="G124" s="6"/>
      <c r="H124" s="6"/>
    </row>
    <row r="125" spans="2:8" x14ac:dyDescent="0.2">
      <c r="C125" s="6"/>
      <c r="D125" s="6"/>
      <c r="F125" s="6"/>
      <c r="G125" s="6"/>
      <c r="H125" s="6"/>
    </row>
    <row r="126" spans="2:8" x14ac:dyDescent="0.2">
      <c r="C126" s="6"/>
      <c r="D126" s="6"/>
      <c r="F126" s="6"/>
      <c r="G126" s="6"/>
      <c r="H126" s="6"/>
    </row>
    <row r="127" spans="2:8" x14ac:dyDescent="0.2">
      <c r="F127" s="6"/>
      <c r="G127" s="6"/>
      <c r="H127" s="6"/>
    </row>
    <row r="130" spans="3:11" ht="17" thickBot="1" x14ac:dyDescent="0.25">
      <c r="I130" t="s">
        <v>420</v>
      </c>
      <c r="K130" t="s">
        <v>474</v>
      </c>
    </row>
    <row r="131" spans="3:11" x14ac:dyDescent="0.2">
      <c r="C131" s="32" t="s">
        <v>471</v>
      </c>
      <c r="D131" s="33" t="s">
        <v>472</v>
      </c>
      <c r="E131" s="52" t="s">
        <v>473</v>
      </c>
      <c r="G131" t="s">
        <v>363</v>
      </c>
      <c r="I131" t="s">
        <v>363</v>
      </c>
      <c r="K131" t="s">
        <v>363</v>
      </c>
    </row>
    <row r="132" spans="3:11" x14ac:dyDescent="0.2">
      <c r="C132" s="35" t="s">
        <v>16</v>
      </c>
      <c r="D132" s="6" t="s">
        <v>26</v>
      </c>
      <c r="E132" s="53" t="s">
        <v>204</v>
      </c>
      <c r="G132" t="s">
        <v>30</v>
      </c>
      <c r="I132" t="s">
        <v>30</v>
      </c>
      <c r="K132" t="s">
        <v>30</v>
      </c>
    </row>
    <row r="133" spans="3:11" x14ac:dyDescent="0.2">
      <c r="C133" s="35"/>
      <c r="D133" s="6"/>
      <c r="E133" s="53"/>
      <c r="G133" t="s">
        <v>238</v>
      </c>
      <c r="I133" t="s">
        <v>238</v>
      </c>
      <c r="K133" t="s">
        <v>238</v>
      </c>
    </row>
    <row r="134" spans="3:11" x14ac:dyDescent="0.2">
      <c r="C134" s="35"/>
      <c r="D134" s="6"/>
      <c r="E134" s="53"/>
      <c r="G134" t="s">
        <v>240</v>
      </c>
      <c r="I134" t="s">
        <v>240</v>
      </c>
      <c r="K134" t="s">
        <v>240</v>
      </c>
    </row>
    <row r="135" spans="3:11" x14ac:dyDescent="0.2">
      <c r="C135" s="35"/>
      <c r="D135" s="6"/>
      <c r="E135" s="53"/>
      <c r="I135" t="s">
        <v>242</v>
      </c>
      <c r="K135" t="s">
        <v>30</v>
      </c>
    </row>
    <row r="136" spans="3:11" x14ac:dyDescent="0.2">
      <c r="C136" s="35"/>
      <c r="D136" s="6"/>
      <c r="E136" s="53"/>
      <c r="I136" t="s">
        <v>244</v>
      </c>
      <c r="K136" t="s">
        <v>238</v>
      </c>
    </row>
    <row r="137" spans="3:11" x14ac:dyDescent="0.2">
      <c r="C137" s="35"/>
      <c r="D137" s="6"/>
      <c r="E137" s="53"/>
      <c r="I137" t="s">
        <v>246</v>
      </c>
      <c r="K137" t="s">
        <v>240</v>
      </c>
    </row>
    <row r="138" spans="3:11" x14ac:dyDescent="0.2">
      <c r="C138" s="35"/>
      <c r="D138" s="6"/>
      <c r="E138" s="53"/>
      <c r="K138" t="s">
        <v>242</v>
      </c>
    </row>
    <row r="139" spans="3:11" ht="17" thickBot="1" x14ac:dyDescent="0.25">
      <c r="C139" s="37"/>
      <c r="D139" s="38"/>
      <c r="E139" s="54"/>
      <c r="K139" t="s">
        <v>244</v>
      </c>
    </row>
    <row r="140" spans="3:11" x14ac:dyDescent="0.2">
      <c r="C140" s="35" t="s">
        <v>16</v>
      </c>
      <c r="D140" s="6" t="s">
        <v>26</v>
      </c>
      <c r="E140" s="36" t="s">
        <v>204</v>
      </c>
      <c r="G140" s="6" t="s">
        <v>363</v>
      </c>
      <c r="K140" t="s">
        <v>246</v>
      </c>
    </row>
    <row r="141" spans="3:11" x14ac:dyDescent="0.2">
      <c r="C141" s="35"/>
      <c r="D141" s="6"/>
      <c r="E141" s="36"/>
      <c r="G141" t="s">
        <v>30</v>
      </c>
    </row>
    <row r="142" spans="3:11" x14ac:dyDescent="0.2">
      <c r="C142" s="35"/>
      <c r="D142" s="6"/>
      <c r="E142" s="36"/>
      <c r="G142" t="s">
        <v>238</v>
      </c>
    </row>
    <row r="143" spans="3:11" x14ac:dyDescent="0.2">
      <c r="C143" s="35"/>
      <c r="D143" s="6"/>
      <c r="E143" s="36"/>
      <c r="G143" t="s">
        <v>240</v>
      </c>
    </row>
    <row r="144" spans="3:11" x14ac:dyDescent="0.2">
      <c r="C144" s="35"/>
      <c r="D144" s="6"/>
      <c r="E144" s="36"/>
      <c r="G144" t="s">
        <v>242</v>
      </c>
    </row>
    <row r="145" spans="3:7" x14ac:dyDescent="0.2">
      <c r="C145" s="35"/>
      <c r="D145" s="6"/>
      <c r="E145" s="36"/>
      <c r="G145" t="s">
        <v>244</v>
      </c>
    </row>
    <row r="146" spans="3:7" x14ac:dyDescent="0.2">
      <c r="C146" s="35"/>
      <c r="D146" s="6"/>
      <c r="E146" s="36"/>
      <c r="G146" t="s">
        <v>246</v>
      </c>
    </row>
    <row r="147" spans="3:7" x14ac:dyDescent="0.2">
      <c r="C147" s="35"/>
      <c r="D147" s="6"/>
      <c r="E147" s="36"/>
    </row>
    <row r="148" spans="3:7" ht="17" thickBot="1" x14ac:dyDescent="0.25">
      <c r="C148" s="37"/>
      <c r="D148" s="38"/>
      <c r="E148" s="39"/>
    </row>
  </sheetData>
  <mergeCells count="1">
    <mergeCell ref="B44:F4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6F0EE-D4D7-EC47-9CC1-90917947B546}">
  <dimension ref="B2:K131"/>
  <sheetViews>
    <sheetView topLeftCell="A86" zoomScale="200" zoomScaleNormal="200" workbookViewId="0">
      <selection activeCell="H95" sqref="H95"/>
    </sheetView>
  </sheetViews>
  <sheetFormatPr baseColWidth="10" defaultRowHeight="16" x14ac:dyDescent="0.2"/>
  <cols>
    <col min="3" max="3" width="13.1640625" bestFit="1" customWidth="1"/>
    <col min="4" max="4" width="3.1640625" bestFit="1" customWidth="1"/>
  </cols>
  <sheetData>
    <row r="2" spans="2:11" x14ac:dyDescent="0.2">
      <c r="B2" t="s">
        <v>475</v>
      </c>
    </row>
    <row r="4" spans="2:11" x14ac:dyDescent="0.2">
      <c r="C4" t="s">
        <v>476</v>
      </c>
      <c r="D4">
        <v>50</v>
      </c>
    </row>
    <row r="6" spans="2:11" ht="17" thickBot="1" x14ac:dyDescent="0.25"/>
    <row r="7" spans="2:11" ht="17" thickBot="1" x14ac:dyDescent="0.25">
      <c r="E7">
        <v>1</v>
      </c>
      <c r="F7">
        <v>95</v>
      </c>
      <c r="G7">
        <f>IF(F7&gt;$I$7,1,0)</f>
        <v>1</v>
      </c>
      <c r="I7" s="55">
        <f>AVERAGE(F7:F56)</f>
        <v>65.78</v>
      </c>
      <c r="K7">
        <f>SUM(G7:G56)</f>
        <v>27</v>
      </c>
    </row>
    <row r="8" spans="2:11" x14ac:dyDescent="0.2">
      <c r="E8">
        <v>2</v>
      </c>
      <c r="F8">
        <v>66</v>
      </c>
      <c r="G8">
        <f t="shared" ref="G8:G56" si="0">IF(F8&gt;$I$7,1,0)</f>
        <v>1</v>
      </c>
    </row>
    <row r="9" spans="2:11" x14ac:dyDescent="0.2">
      <c r="E9">
        <v>3</v>
      </c>
      <c r="F9">
        <v>40</v>
      </c>
      <c r="G9">
        <f t="shared" si="0"/>
        <v>0</v>
      </c>
    </row>
    <row r="10" spans="2:11" x14ac:dyDescent="0.2">
      <c r="E10">
        <v>4</v>
      </c>
      <c r="F10">
        <v>74</v>
      </c>
      <c r="G10">
        <f t="shared" si="0"/>
        <v>1</v>
      </c>
    </row>
    <row r="11" spans="2:11" x14ac:dyDescent="0.2">
      <c r="E11">
        <v>5</v>
      </c>
      <c r="F11">
        <v>56</v>
      </c>
      <c r="G11">
        <f t="shared" si="0"/>
        <v>0</v>
      </c>
    </row>
    <row r="12" spans="2:11" x14ac:dyDescent="0.2">
      <c r="E12">
        <v>6</v>
      </c>
      <c r="F12">
        <v>63</v>
      </c>
      <c r="G12">
        <f t="shared" si="0"/>
        <v>0</v>
      </c>
    </row>
    <row r="13" spans="2:11" x14ac:dyDescent="0.2">
      <c r="E13">
        <v>7</v>
      </c>
      <c r="F13">
        <v>67</v>
      </c>
      <c r="G13">
        <f t="shared" si="0"/>
        <v>1</v>
      </c>
    </row>
    <row r="14" spans="2:11" x14ac:dyDescent="0.2">
      <c r="E14">
        <v>8</v>
      </c>
      <c r="F14">
        <v>88</v>
      </c>
      <c r="G14">
        <f t="shared" si="0"/>
        <v>1</v>
      </c>
    </row>
    <row r="15" spans="2:11" x14ac:dyDescent="0.2">
      <c r="E15">
        <v>9</v>
      </c>
      <c r="F15">
        <v>60</v>
      </c>
      <c r="G15">
        <f t="shared" si="0"/>
        <v>0</v>
      </c>
    </row>
    <row r="16" spans="2:11" x14ac:dyDescent="0.2">
      <c r="E16">
        <v>10</v>
      </c>
      <c r="F16">
        <v>70</v>
      </c>
      <c r="G16">
        <f t="shared" si="0"/>
        <v>1</v>
      </c>
    </row>
    <row r="17" spans="5:7" x14ac:dyDescent="0.2">
      <c r="E17">
        <v>11</v>
      </c>
      <c r="F17">
        <v>35</v>
      </c>
      <c r="G17">
        <f t="shared" si="0"/>
        <v>0</v>
      </c>
    </row>
    <row r="18" spans="5:7" x14ac:dyDescent="0.2">
      <c r="E18">
        <v>12</v>
      </c>
      <c r="F18">
        <v>79</v>
      </c>
      <c r="G18">
        <f t="shared" si="0"/>
        <v>1</v>
      </c>
    </row>
    <row r="19" spans="5:7" x14ac:dyDescent="0.2">
      <c r="E19">
        <v>13</v>
      </c>
      <c r="F19">
        <v>69</v>
      </c>
      <c r="G19">
        <f t="shared" si="0"/>
        <v>1</v>
      </c>
    </row>
    <row r="20" spans="5:7" x14ac:dyDescent="0.2">
      <c r="E20">
        <v>14</v>
      </c>
      <c r="F20">
        <v>69</v>
      </c>
      <c r="G20">
        <f t="shared" si="0"/>
        <v>1</v>
      </c>
    </row>
    <row r="21" spans="5:7" x14ac:dyDescent="0.2">
      <c r="E21">
        <v>15</v>
      </c>
      <c r="F21">
        <v>39</v>
      </c>
      <c r="G21">
        <f t="shared" si="0"/>
        <v>0</v>
      </c>
    </row>
    <row r="22" spans="5:7" x14ac:dyDescent="0.2">
      <c r="E22">
        <v>16</v>
      </c>
      <c r="F22">
        <v>46</v>
      </c>
      <c r="G22">
        <f t="shared" si="0"/>
        <v>0</v>
      </c>
    </row>
    <row r="23" spans="5:7" x14ac:dyDescent="0.2">
      <c r="E23">
        <v>17</v>
      </c>
      <c r="F23">
        <v>68</v>
      </c>
      <c r="G23">
        <f t="shared" si="0"/>
        <v>1</v>
      </c>
    </row>
    <row r="24" spans="5:7" x14ac:dyDescent="0.2">
      <c r="E24">
        <v>18</v>
      </c>
      <c r="F24">
        <v>90</v>
      </c>
      <c r="G24">
        <f t="shared" si="0"/>
        <v>1</v>
      </c>
    </row>
    <row r="25" spans="5:7" x14ac:dyDescent="0.2">
      <c r="E25">
        <v>19</v>
      </c>
      <c r="F25">
        <v>40</v>
      </c>
      <c r="G25">
        <f t="shared" si="0"/>
        <v>0</v>
      </c>
    </row>
    <row r="26" spans="5:7" x14ac:dyDescent="0.2">
      <c r="E26">
        <v>20</v>
      </c>
      <c r="F26">
        <v>47</v>
      </c>
      <c r="G26">
        <f t="shared" si="0"/>
        <v>0</v>
      </c>
    </row>
    <row r="27" spans="5:7" x14ac:dyDescent="0.2">
      <c r="E27">
        <v>21</v>
      </c>
      <c r="F27">
        <v>35</v>
      </c>
      <c r="G27">
        <f t="shared" si="0"/>
        <v>0</v>
      </c>
    </row>
    <row r="28" spans="5:7" x14ac:dyDescent="0.2">
      <c r="E28">
        <v>22</v>
      </c>
      <c r="F28">
        <v>99</v>
      </c>
      <c r="G28">
        <f t="shared" si="0"/>
        <v>1</v>
      </c>
    </row>
    <row r="29" spans="5:7" x14ac:dyDescent="0.2">
      <c r="E29">
        <v>23</v>
      </c>
      <c r="F29">
        <v>81</v>
      </c>
      <c r="G29">
        <f t="shared" si="0"/>
        <v>1</v>
      </c>
    </row>
    <row r="30" spans="5:7" x14ac:dyDescent="0.2">
      <c r="E30">
        <v>24</v>
      </c>
      <c r="F30">
        <v>88</v>
      </c>
      <c r="G30">
        <f t="shared" si="0"/>
        <v>1</v>
      </c>
    </row>
    <row r="31" spans="5:7" x14ac:dyDescent="0.2">
      <c r="E31">
        <v>25</v>
      </c>
      <c r="F31">
        <v>32</v>
      </c>
      <c r="G31">
        <f t="shared" si="0"/>
        <v>0</v>
      </c>
    </row>
    <row r="32" spans="5:7" x14ac:dyDescent="0.2">
      <c r="E32">
        <v>26</v>
      </c>
      <c r="F32">
        <v>90</v>
      </c>
      <c r="G32">
        <f t="shared" si="0"/>
        <v>1</v>
      </c>
    </row>
    <row r="33" spans="5:7" x14ac:dyDescent="0.2">
      <c r="E33">
        <v>27</v>
      </c>
      <c r="F33">
        <v>51</v>
      </c>
      <c r="G33">
        <f t="shared" si="0"/>
        <v>0</v>
      </c>
    </row>
    <row r="34" spans="5:7" x14ac:dyDescent="0.2">
      <c r="E34">
        <v>28</v>
      </c>
      <c r="F34">
        <v>80</v>
      </c>
      <c r="G34">
        <f t="shared" si="0"/>
        <v>1</v>
      </c>
    </row>
    <row r="35" spans="5:7" x14ac:dyDescent="0.2">
      <c r="E35">
        <v>29</v>
      </c>
      <c r="F35">
        <v>33</v>
      </c>
      <c r="G35">
        <f t="shared" si="0"/>
        <v>0</v>
      </c>
    </row>
    <row r="36" spans="5:7" x14ac:dyDescent="0.2">
      <c r="E36">
        <v>30</v>
      </c>
      <c r="F36">
        <v>77</v>
      </c>
      <c r="G36">
        <f t="shared" si="0"/>
        <v>1</v>
      </c>
    </row>
    <row r="37" spans="5:7" x14ac:dyDescent="0.2">
      <c r="E37">
        <v>31</v>
      </c>
      <c r="F37">
        <v>68</v>
      </c>
      <c r="G37">
        <f t="shared" si="0"/>
        <v>1</v>
      </c>
    </row>
    <row r="38" spans="5:7" x14ac:dyDescent="0.2">
      <c r="E38">
        <v>32</v>
      </c>
      <c r="F38">
        <v>64</v>
      </c>
      <c r="G38">
        <f t="shared" si="0"/>
        <v>0</v>
      </c>
    </row>
    <row r="39" spans="5:7" x14ac:dyDescent="0.2">
      <c r="E39">
        <v>33</v>
      </c>
      <c r="F39">
        <v>89</v>
      </c>
      <c r="G39">
        <f t="shared" si="0"/>
        <v>1</v>
      </c>
    </row>
    <row r="40" spans="5:7" x14ac:dyDescent="0.2">
      <c r="E40">
        <v>34</v>
      </c>
      <c r="F40">
        <v>47</v>
      </c>
      <c r="G40">
        <f t="shared" si="0"/>
        <v>0</v>
      </c>
    </row>
    <row r="41" spans="5:7" x14ac:dyDescent="0.2">
      <c r="E41">
        <v>35</v>
      </c>
      <c r="F41">
        <v>52</v>
      </c>
      <c r="G41">
        <f t="shared" si="0"/>
        <v>0</v>
      </c>
    </row>
    <row r="42" spans="5:7" x14ac:dyDescent="0.2">
      <c r="E42">
        <v>36</v>
      </c>
      <c r="F42">
        <v>65</v>
      </c>
      <c r="G42">
        <f t="shared" si="0"/>
        <v>0</v>
      </c>
    </row>
    <row r="43" spans="5:7" x14ac:dyDescent="0.2">
      <c r="E43">
        <v>37</v>
      </c>
      <c r="F43">
        <v>97</v>
      </c>
      <c r="G43">
        <f t="shared" si="0"/>
        <v>1</v>
      </c>
    </row>
    <row r="44" spans="5:7" x14ac:dyDescent="0.2">
      <c r="E44">
        <v>38</v>
      </c>
      <c r="F44">
        <v>61</v>
      </c>
      <c r="G44">
        <f t="shared" si="0"/>
        <v>0</v>
      </c>
    </row>
    <row r="45" spans="5:7" x14ac:dyDescent="0.2">
      <c r="E45">
        <v>39</v>
      </c>
      <c r="F45">
        <v>73</v>
      </c>
      <c r="G45">
        <f t="shared" si="0"/>
        <v>1</v>
      </c>
    </row>
    <row r="46" spans="5:7" x14ac:dyDescent="0.2">
      <c r="E46">
        <v>40</v>
      </c>
      <c r="F46">
        <v>89</v>
      </c>
      <c r="G46">
        <f t="shared" si="0"/>
        <v>1</v>
      </c>
    </row>
    <row r="47" spans="5:7" x14ac:dyDescent="0.2">
      <c r="E47">
        <v>41</v>
      </c>
      <c r="F47">
        <v>61</v>
      </c>
      <c r="G47">
        <f t="shared" si="0"/>
        <v>0</v>
      </c>
    </row>
    <row r="48" spans="5:7" x14ac:dyDescent="0.2">
      <c r="E48">
        <v>42</v>
      </c>
      <c r="F48">
        <v>76</v>
      </c>
      <c r="G48">
        <f t="shared" si="0"/>
        <v>1</v>
      </c>
    </row>
    <row r="49" spans="5:7" x14ac:dyDescent="0.2">
      <c r="E49">
        <v>43</v>
      </c>
      <c r="F49">
        <v>88</v>
      </c>
      <c r="G49">
        <f t="shared" si="0"/>
        <v>1</v>
      </c>
    </row>
    <row r="50" spans="5:7" x14ac:dyDescent="0.2">
      <c r="E50">
        <v>44</v>
      </c>
      <c r="F50">
        <v>39</v>
      </c>
      <c r="G50">
        <f t="shared" si="0"/>
        <v>0</v>
      </c>
    </row>
    <row r="51" spans="5:7" x14ac:dyDescent="0.2">
      <c r="E51">
        <v>45</v>
      </c>
      <c r="F51">
        <v>53</v>
      </c>
      <c r="G51">
        <f t="shared" si="0"/>
        <v>0</v>
      </c>
    </row>
    <row r="52" spans="5:7" x14ac:dyDescent="0.2">
      <c r="E52">
        <v>46</v>
      </c>
      <c r="F52">
        <v>81</v>
      </c>
      <c r="G52">
        <f t="shared" si="0"/>
        <v>1</v>
      </c>
    </row>
    <row r="53" spans="5:7" x14ac:dyDescent="0.2">
      <c r="E53">
        <v>47</v>
      </c>
      <c r="F53">
        <v>50</v>
      </c>
      <c r="G53">
        <f t="shared" si="0"/>
        <v>0</v>
      </c>
    </row>
    <row r="54" spans="5:7" x14ac:dyDescent="0.2">
      <c r="E54">
        <v>48</v>
      </c>
      <c r="F54">
        <v>57</v>
      </c>
      <c r="G54">
        <f t="shared" si="0"/>
        <v>0</v>
      </c>
    </row>
    <row r="55" spans="5:7" x14ac:dyDescent="0.2">
      <c r="E55">
        <v>49</v>
      </c>
      <c r="F55">
        <v>70</v>
      </c>
      <c r="G55">
        <f t="shared" si="0"/>
        <v>1</v>
      </c>
    </row>
    <row r="56" spans="5:7" x14ac:dyDescent="0.2">
      <c r="E56">
        <v>50</v>
      </c>
      <c r="F56">
        <v>82</v>
      </c>
      <c r="G56">
        <f t="shared" si="0"/>
        <v>1</v>
      </c>
    </row>
    <row r="78" spans="2:6" x14ac:dyDescent="0.2">
      <c r="B78" t="s">
        <v>477</v>
      </c>
    </row>
    <row r="80" spans="2:6" x14ac:dyDescent="0.2">
      <c r="C80" t="s">
        <v>294</v>
      </c>
      <c r="E80" t="s">
        <v>298</v>
      </c>
      <c r="F80" t="s">
        <v>480</v>
      </c>
    </row>
    <row r="81" spans="3:6" x14ac:dyDescent="0.2">
      <c r="C81" t="s">
        <v>478</v>
      </c>
      <c r="E81" t="s">
        <v>481</v>
      </c>
      <c r="F81" t="s">
        <v>480</v>
      </c>
    </row>
    <row r="82" spans="3:6" x14ac:dyDescent="0.2">
      <c r="C82" t="s">
        <v>479</v>
      </c>
      <c r="E82" t="s">
        <v>481</v>
      </c>
      <c r="F82" t="s">
        <v>482</v>
      </c>
    </row>
    <row r="128" spans="2:7" x14ac:dyDescent="0.2">
      <c r="B128" t="s">
        <v>483</v>
      </c>
      <c r="C128" t="s">
        <v>484</v>
      </c>
      <c r="F128" t="s">
        <v>363</v>
      </c>
      <c r="G128" t="s">
        <v>485</v>
      </c>
    </row>
    <row r="129" spans="2:7" x14ac:dyDescent="0.2">
      <c r="B129" t="s">
        <v>30</v>
      </c>
      <c r="C129">
        <v>0</v>
      </c>
      <c r="G129" t="s">
        <v>486</v>
      </c>
    </row>
    <row r="130" spans="2:7" x14ac:dyDescent="0.2">
      <c r="B130" t="s">
        <v>238</v>
      </c>
      <c r="C130">
        <v>1</v>
      </c>
      <c r="G130" t="s">
        <v>487</v>
      </c>
    </row>
    <row r="131" spans="2:7" x14ac:dyDescent="0.2">
      <c r="B131" t="s">
        <v>240</v>
      </c>
      <c r="C131">
        <v>0</v>
      </c>
      <c r="G131" t="s">
        <v>104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B1267-B294-C146-9164-EFF59246F25C}">
  <dimension ref="B2:L29"/>
  <sheetViews>
    <sheetView zoomScale="200" zoomScaleNormal="200" workbookViewId="0">
      <selection activeCell="F17" sqref="F17"/>
    </sheetView>
  </sheetViews>
  <sheetFormatPr baseColWidth="10" defaultRowHeight="16" x14ac:dyDescent="0.2"/>
  <cols>
    <col min="9" max="9" width="12.5" bestFit="1" customWidth="1"/>
    <col min="12" max="12" width="12.6640625" bestFit="1" customWidth="1"/>
  </cols>
  <sheetData>
    <row r="2" spans="2:12" x14ac:dyDescent="0.2">
      <c r="B2" t="s">
        <v>60</v>
      </c>
      <c r="I2" t="s">
        <v>69</v>
      </c>
    </row>
    <row r="4" spans="2:12" ht="17" thickBot="1" x14ac:dyDescent="0.25">
      <c r="B4" t="s">
        <v>361</v>
      </c>
      <c r="C4" t="s">
        <v>488</v>
      </c>
      <c r="D4" t="s">
        <v>66</v>
      </c>
      <c r="E4" t="s">
        <v>442</v>
      </c>
      <c r="F4" t="s">
        <v>492</v>
      </c>
      <c r="I4" t="s">
        <v>489</v>
      </c>
      <c r="J4" t="s">
        <v>490</v>
      </c>
      <c r="K4" t="s">
        <v>66</v>
      </c>
      <c r="L4" t="s">
        <v>491</v>
      </c>
    </row>
    <row r="5" spans="2:12" ht="17" thickBot="1" x14ac:dyDescent="0.25">
      <c r="B5" s="49">
        <v>1</v>
      </c>
      <c r="C5" s="56" t="s">
        <v>347</v>
      </c>
      <c r="D5" s="56">
        <v>10000</v>
      </c>
      <c r="E5" s="50">
        <v>1</v>
      </c>
      <c r="I5">
        <v>1</v>
      </c>
      <c r="J5">
        <v>1</v>
      </c>
      <c r="K5">
        <v>2000</v>
      </c>
    </row>
    <row r="6" spans="2:12" x14ac:dyDescent="0.2">
      <c r="B6">
        <v>2</v>
      </c>
      <c r="C6" t="s">
        <v>365</v>
      </c>
      <c r="D6">
        <v>15000</v>
      </c>
      <c r="E6">
        <v>2</v>
      </c>
      <c r="I6">
        <v>2</v>
      </c>
      <c r="J6">
        <v>1</v>
      </c>
      <c r="K6">
        <v>2000</v>
      </c>
    </row>
    <row r="7" spans="2:12" x14ac:dyDescent="0.2">
      <c r="B7">
        <v>3</v>
      </c>
      <c r="C7" t="s">
        <v>364</v>
      </c>
      <c r="D7">
        <v>20000</v>
      </c>
      <c r="E7">
        <v>1</v>
      </c>
      <c r="I7">
        <v>3</v>
      </c>
      <c r="J7">
        <v>1</v>
      </c>
      <c r="K7">
        <v>2000</v>
      </c>
    </row>
    <row r="8" spans="2:12" x14ac:dyDescent="0.2">
      <c r="B8">
        <v>4</v>
      </c>
      <c r="C8" t="s">
        <v>366</v>
      </c>
      <c r="D8">
        <v>40000</v>
      </c>
      <c r="E8">
        <v>3</v>
      </c>
      <c r="I8">
        <v>4</v>
      </c>
      <c r="J8">
        <v>1</v>
      </c>
      <c r="K8">
        <v>2100</v>
      </c>
    </row>
    <row r="9" spans="2:12" x14ac:dyDescent="0.2">
      <c r="I9">
        <v>5</v>
      </c>
      <c r="J9">
        <v>1</v>
      </c>
      <c r="K9">
        <v>3000</v>
      </c>
    </row>
    <row r="10" spans="2:12" x14ac:dyDescent="0.2">
      <c r="I10">
        <v>6</v>
      </c>
      <c r="J10">
        <v>1</v>
      </c>
      <c r="K10">
        <v>3500</v>
      </c>
    </row>
    <row r="13" spans="2:12" x14ac:dyDescent="0.2">
      <c r="I13" t="s">
        <v>493</v>
      </c>
    </row>
    <row r="16" spans="2:12" x14ac:dyDescent="0.2">
      <c r="F16" t="s">
        <v>60</v>
      </c>
      <c r="I16" t="s">
        <v>497</v>
      </c>
      <c r="J16" t="s">
        <v>494</v>
      </c>
    </row>
    <row r="17" spans="2:10" x14ac:dyDescent="0.2">
      <c r="I17" t="s">
        <v>495</v>
      </c>
      <c r="J17" t="s">
        <v>496</v>
      </c>
    </row>
    <row r="19" spans="2:10" x14ac:dyDescent="0.2">
      <c r="F19" t="s">
        <v>69</v>
      </c>
    </row>
    <row r="21" spans="2:10" x14ac:dyDescent="0.2">
      <c r="I21">
        <v>10</v>
      </c>
      <c r="J21" t="s">
        <v>498</v>
      </c>
    </row>
    <row r="22" spans="2:10" x14ac:dyDescent="0.2">
      <c r="I22">
        <v>11</v>
      </c>
    </row>
    <row r="27" spans="2:10" x14ac:dyDescent="0.2">
      <c r="B27" t="s">
        <v>326</v>
      </c>
    </row>
    <row r="29" spans="2:10" x14ac:dyDescent="0.2">
      <c r="B29" t="s">
        <v>499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C4F6B-8431-7045-BD00-42A9781A59FE}">
  <dimension ref="B2:K83"/>
  <sheetViews>
    <sheetView topLeftCell="A61" zoomScale="200" zoomScaleNormal="200" workbookViewId="0">
      <selection activeCell="E75" sqref="E75"/>
    </sheetView>
  </sheetViews>
  <sheetFormatPr baseColWidth="10" defaultRowHeight="16" x14ac:dyDescent="0.2"/>
  <cols>
    <col min="2" max="2" width="21.5" bestFit="1" customWidth="1"/>
    <col min="3" max="3" width="13.33203125" bestFit="1" customWidth="1"/>
    <col min="5" max="5" width="19.83203125" bestFit="1" customWidth="1"/>
    <col min="6" max="6" width="11.5" bestFit="1" customWidth="1"/>
    <col min="7" max="7" width="12.33203125" bestFit="1" customWidth="1"/>
  </cols>
  <sheetData>
    <row r="2" spans="2:11" x14ac:dyDescent="0.2">
      <c r="B2" t="s">
        <v>500</v>
      </c>
    </row>
    <row r="3" spans="2:11" x14ac:dyDescent="0.2">
      <c r="C3" t="s">
        <v>501</v>
      </c>
    </row>
    <row r="4" spans="2:11" x14ac:dyDescent="0.2">
      <c r="C4" t="s">
        <v>502</v>
      </c>
    </row>
    <row r="6" spans="2:11" x14ac:dyDescent="0.2">
      <c r="B6" t="s">
        <v>503</v>
      </c>
      <c r="C6" t="s">
        <v>504</v>
      </c>
      <c r="E6" t="s">
        <v>505</v>
      </c>
      <c r="G6" s="57" t="s">
        <v>515</v>
      </c>
      <c r="H6" s="57"/>
      <c r="I6" s="57"/>
    </row>
    <row r="7" spans="2:11" x14ac:dyDescent="0.2">
      <c r="G7" t="s">
        <v>512</v>
      </c>
      <c r="H7" t="s">
        <v>513</v>
      </c>
      <c r="I7" t="s">
        <v>514</v>
      </c>
    </row>
    <row r="8" spans="2:11" x14ac:dyDescent="0.2">
      <c r="E8" t="s">
        <v>506</v>
      </c>
      <c r="G8">
        <v>101</v>
      </c>
    </row>
    <row r="9" spans="2:11" x14ac:dyDescent="0.2">
      <c r="E9" t="s">
        <v>507</v>
      </c>
    </row>
    <row r="10" spans="2:11" x14ac:dyDescent="0.2">
      <c r="E10" t="s">
        <v>508</v>
      </c>
      <c r="G10">
        <v>15</v>
      </c>
    </row>
    <row r="11" spans="2:11" x14ac:dyDescent="0.2">
      <c r="E11" t="s">
        <v>509</v>
      </c>
    </row>
    <row r="12" spans="2:11" x14ac:dyDescent="0.2">
      <c r="E12" t="s">
        <v>510</v>
      </c>
    </row>
    <row r="14" spans="2:11" x14ac:dyDescent="0.2">
      <c r="B14" t="s">
        <v>511</v>
      </c>
      <c r="D14" t="s">
        <v>516</v>
      </c>
      <c r="G14" t="s">
        <v>516</v>
      </c>
      <c r="J14" t="s">
        <v>519</v>
      </c>
    </row>
    <row r="15" spans="2:11" x14ac:dyDescent="0.2">
      <c r="D15" t="s">
        <v>71</v>
      </c>
      <c r="E15" t="s">
        <v>517</v>
      </c>
      <c r="G15" t="s">
        <v>444</v>
      </c>
      <c r="H15" t="s">
        <v>520</v>
      </c>
      <c r="J15" t="s">
        <v>71</v>
      </c>
      <c r="K15" t="s">
        <v>72</v>
      </c>
    </row>
    <row r="16" spans="2:11" x14ac:dyDescent="0.2">
      <c r="D16">
        <v>1</v>
      </c>
      <c r="E16" t="s">
        <v>518</v>
      </c>
    </row>
    <row r="21" spans="2:11" x14ac:dyDescent="0.2">
      <c r="B21" t="s">
        <v>521</v>
      </c>
    </row>
    <row r="22" spans="2:11" x14ac:dyDescent="0.2">
      <c r="C22" t="s">
        <v>522</v>
      </c>
      <c r="E22" t="s">
        <v>523</v>
      </c>
    </row>
    <row r="23" spans="2:11" x14ac:dyDescent="0.2">
      <c r="C23" t="s">
        <v>524</v>
      </c>
      <c r="E23" t="s">
        <v>526</v>
      </c>
      <c r="G23" s="57" t="s">
        <v>525</v>
      </c>
      <c r="H23" s="57"/>
      <c r="I23" s="57"/>
      <c r="J23" s="57"/>
    </row>
    <row r="24" spans="2:11" x14ac:dyDescent="0.2">
      <c r="C24" t="s">
        <v>545</v>
      </c>
      <c r="E24" t="s">
        <v>546</v>
      </c>
    </row>
    <row r="25" spans="2:11" x14ac:dyDescent="0.2">
      <c r="G25" t="s">
        <v>527</v>
      </c>
      <c r="H25" t="s">
        <v>528</v>
      </c>
      <c r="I25" t="s">
        <v>530</v>
      </c>
      <c r="J25" t="s">
        <v>531</v>
      </c>
      <c r="K25" t="s">
        <v>532</v>
      </c>
    </row>
    <row r="26" spans="2:11" x14ac:dyDescent="0.2">
      <c r="G26" s="57" t="s">
        <v>529</v>
      </c>
      <c r="H26" s="57"/>
    </row>
    <row r="30" spans="2:11" x14ac:dyDescent="0.2">
      <c r="D30" t="s">
        <v>533</v>
      </c>
      <c r="F30" s="6" t="s">
        <v>534</v>
      </c>
      <c r="G30" s="6" t="s">
        <v>535</v>
      </c>
    </row>
    <row r="32" spans="2:11" x14ac:dyDescent="0.2">
      <c r="F32" t="s">
        <v>536</v>
      </c>
      <c r="G32" t="s">
        <v>537</v>
      </c>
      <c r="I32" t="s">
        <v>538</v>
      </c>
      <c r="J32" t="s">
        <v>539</v>
      </c>
    </row>
    <row r="34" spans="6:9" x14ac:dyDescent="0.2">
      <c r="F34" t="s">
        <v>540</v>
      </c>
      <c r="G34" t="s">
        <v>543</v>
      </c>
      <c r="I34" t="s">
        <v>542</v>
      </c>
    </row>
    <row r="35" spans="6:9" x14ac:dyDescent="0.2">
      <c r="F35" t="s">
        <v>541</v>
      </c>
    </row>
    <row r="37" spans="6:9" x14ac:dyDescent="0.2">
      <c r="F37" t="s">
        <v>544</v>
      </c>
    </row>
    <row r="55" spans="3:7" x14ac:dyDescent="0.2">
      <c r="C55" t="s">
        <v>304</v>
      </c>
      <c r="G55" t="str">
        <f>C55</f>
        <v>Siraj</v>
      </c>
    </row>
    <row r="57" spans="3:7" x14ac:dyDescent="0.2">
      <c r="C57" t="s">
        <v>547</v>
      </c>
      <c r="E57" t="s">
        <v>548</v>
      </c>
      <c r="G57" t="str" cm="1">
        <f t="array" aca="1" ref="G57" ca="1">INDIRECT(E57)</f>
        <v>Ali</v>
      </c>
    </row>
    <row r="64" spans="3:7" x14ac:dyDescent="0.2">
      <c r="C64" t="s">
        <v>500</v>
      </c>
    </row>
    <row r="66" spans="2:8" x14ac:dyDescent="0.2">
      <c r="B66" t="s">
        <v>549</v>
      </c>
    </row>
    <row r="68" spans="2:8" x14ac:dyDescent="0.2">
      <c r="F68" t="s">
        <v>124</v>
      </c>
    </row>
    <row r="70" spans="2:8" x14ac:dyDescent="0.2">
      <c r="C70" t="s">
        <v>550</v>
      </c>
      <c r="D70" t="s">
        <v>552</v>
      </c>
      <c r="F70" t="s">
        <v>125</v>
      </c>
      <c r="H70" t="s">
        <v>278</v>
      </c>
    </row>
    <row r="71" spans="2:8" x14ac:dyDescent="0.2">
      <c r="C71" t="s">
        <v>551</v>
      </c>
      <c r="D71" t="s">
        <v>553</v>
      </c>
      <c r="F71" t="s">
        <v>557</v>
      </c>
    </row>
    <row r="72" spans="2:8" x14ac:dyDescent="0.2">
      <c r="C72" t="s">
        <v>554</v>
      </c>
      <c r="D72" t="s">
        <v>555</v>
      </c>
      <c r="F72" t="s">
        <v>126</v>
      </c>
    </row>
    <row r="73" spans="2:8" x14ac:dyDescent="0.2">
      <c r="C73" t="s">
        <v>556</v>
      </c>
      <c r="F73" t="s">
        <v>128</v>
      </c>
    </row>
    <row r="77" spans="2:8" x14ac:dyDescent="0.2">
      <c r="F77">
        <v>1</v>
      </c>
    </row>
    <row r="78" spans="2:8" x14ac:dyDescent="0.2">
      <c r="F78">
        <v>1</v>
      </c>
      <c r="H78" t="s">
        <v>125</v>
      </c>
    </row>
    <row r="79" spans="2:8" x14ac:dyDescent="0.2">
      <c r="H79" t="s">
        <v>557</v>
      </c>
    </row>
    <row r="81" spans="6:8" x14ac:dyDescent="0.2">
      <c r="F81">
        <v>1</v>
      </c>
    </row>
    <row r="82" spans="6:8" x14ac:dyDescent="0.2">
      <c r="F82">
        <v>2</v>
      </c>
      <c r="H82" t="s">
        <v>125</v>
      </c>
    </row>
    <row r="83" spans="6:8" x14ac:dyDescent="0.2">
      <c r="H83" t="s">
        <v>126</v>
      </c>
    </row>
  </sheetData>
  <mergeCells count="3">
    <mergeCell ref="G6:I6"/>
    <mergeCell ref="G23:J23"/>
    <mergeCell ref="G26:H26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4BBCD-D1FB-5141-AB7D-17BC6A7D5829}">
  <dimension ref="B1:M93"/>
  <sheetViews>
    <sheetView tabSelected="1" topLeftCell="A78" zoomScale="200" zoomScaleNormal="200" workbookViewId="0">
      <selection activeCell="J95" sqref="J95"/>
    </sheetView>
  </sheetViews>
  <sheetFormatPr baseColWidth="10" defaultRowHeight="16" x14ac:dyDescent="0.2"/>
  <cols>
    <col min="1" max="1" width="5.1640625" customWidth="1"/>
    <col min="2" max="2" width="19.6640625" bestFit="1" customWidth="1"/>
    <col min="3" max="3" width="15.1640625" bestFit="1" customWidth="1"/>
    <col min="4" max="4" width="10.6640625" bestFit="1" customWidth="1"/>
    <col min="5" max="5" width="23" bestFit="1" customWidth="1"/>
    <col min="6" max="6" width="15.83203125" bestFit="1" customWidth="1"/>
    <col min="7" max="7" width="15.1640625" bestFit="1" customWidth="1"/>
    <col min="8" max="8" width="11" customWidth="1"/>
    <col min="10" max="10" width="15.83203125" bestFit="1" customWidth="1"/>
    <col min="11" max="11" width="15.1640625" bestFit="1" customWidth="1"/>
    <col min="12" max="12" width="7.1640625" bestFit="1" customWidth="1"/>
  </cols>
  <sheetData>
    <row r="1" spans="2:8" ht="17" thickBot="1" x14ac:dyDescent="0.25"/>
    <row r="2" spans="2:8" ht="17" thickBot="1" x14ac:dyDescent="0.25">
      <c r="B2" s="63" t="s">
        <v>558</v>
      </c>
      <c r="C2" s="64" t="s">
        <v>559</v>
      </c>
      <c r="D2" s="65" t="s">
        <v>66</v>
      </c>
      <c r="F2" s="63" t="s">
        <v>558</v>
      </c>
      <c r="G2" s="64" t="s">
        <v>559</v>
      </c>
      <c r="H2" s="65" t="s">
        <v>66</v>
      </c>
    </row>
    <row r="3" spans="2:8" x14ac:dyDescent="0.2">
      <c r="B3" s="23" t="s">
        <v>560</v>
      </c>
      <c r="C3" s="24" t="s">
        <v>561</v>
      </c>
      <c r="D3" s="25">
        <v>208968</v>
      </c>
      <c r="F3" t="s">
        <v>560</v>
      </c>
      <c r="G3" t="s">
        <v>561</v>
      </c>
      <c r="H3">
        <v>208968</v>
      </c>
    </row>
    <row r="4" spans="2:8" x14ac:dyDescent="0.2">
      <c r="B4" s="26" t="s">
        <v>560</v>
      </c>
      <c r="C4" s="66" t="s">
        <v>562</v>
      </c>
      <c r="D4" s="27">
        <v>207776</v>
      </c>
      <c r="F4" t="s">
        <v>567</v>
      </c>
      <c r="G4" t="s">
        <v>568</v>
      </c>
      <c r="H4">
        <v>249274</v>
      </c>
    </row>
    <row r="5" spans="2:8" x14ac:dyDescent="0.2">
      <c r="B5" s="26" t="s">
        <v>560</v>
      </c>
      <c r="C5" s="66" t="s">
        <v>563</v>
      </c>
      <c r="D5" s="27">
        <v>197830</v>
      </c>
      <c r="F5" t="s">
        <v>573</v>
      </c>
      <c r="G5" t="s">
        <v>574</v>
      </c>
      <c r="H5">
        <v>197871</v>
      </c>
    </row>
    <row r="6" spans="2:8" x14ac:dyDescent="0.2">
      <c r="B6" s="26" t="s">
        <v>560</v>
      </c>
      <c r="C6" s="66" t="s">
        <v>564</v>
      </c>
      <c r="D6" s="27">
        <v>190673</v>
      </c>
    </row>
    <row r="7" spans="2:8" x14ac:dyDescent="0.2">
      <c r="B7" s="26" t="s">
        <v>560</v>
      </c>
      <c r="C7" s="66" t="s">
        <v>565</v>
      </c>
      <c r="D7" s="27">
        <v>171340</v>
      </c>
    </row>
    <row r="8" spans="2:8" ht="17" thickBot="1" x14ac:dyDescent="0.25">
      <c r="B8" s="28" t="s">
        <v>560</v>
      </c>
      <c r="C8" s="9" t="s">
        <v>566</v>
      </c>
      <c r="D8" s="29">
        <v>170254</v>
      </c>
    </row>
    <row r="9" spans="2:8" x14ac:dyDescent="0.2">
      <c r="B9" s="23" t="s">
        <v>567</v>
      </c>
      <c r="C9" s="24" t="s">
        <v>568</v>
      </c>
      <c r="D9" s="25">
        <v>249274</v>
      </c>
    </row>
    <row r="10" spans="2:8" x14ac:dyDescent="0.2">
      <c r="B10" s="26" t="s">
        <v>567</v>
      </c>
      <c r="C10" s="66" t="s">
        <v>569</v>
      </c>
      <c r="D10" s="27">
        <v>247453</v>
      </c>
    </row>
    <row r="11" spans="2:8" x14ac:dyDescent="0.2">
      <c r="B11" s="26" t="s">
        <v>567</v>
      </c>
      <c r="C11" s="66" t="s">
        <v>570</v>
      </c>
      <c r="D11" s="27">
        <v>238367</v>
      </c>
    </row>
    <row r="12" spans="2:8" x14ac:dyDescent="0.2">
      <c r="B12" s="26" t="s">
        <v>567</v>
      </c>
      <c r="C12" s="66" t="s">
        <v>571</v>
      </c>
      <c r="D12" s="27">
        <v>216817</v>
      </c>
    </row>
    <row r="13" spans="2:8" ht="17" thickBot="1" x14ac:dyDescent="0.25">
      <c r="B13" s="28" t="s">
        <v>567</v>
      </c>
      <c r="C13" s="9" t="s">
        <v>572</v>
      </c>
      <c r="D13" s="29">
        <v>206773</v>
      </c>
    </row>
    <row r="14" spans="2:8" x14ac:dyDescent="0.2">
      <c r="B14" s="23" t="s">
        <v>573</v>
      </c>
      <c r="C14" s="24" t="s">
        <v>574</v>
      </c>
      <c r="D14" s="25">
        <v>197871</v>
      </c>
    </row>
    <row r="15" spans="2:8" x14ac:dyDescent="0.2">
      <c r="B15" s="26" t="s">
        <v>573</v>
      </c>
      <c r="C15" s="66" t="s">
        <v>575</v>
      </c>
      <c r="D15" s="27">
        <v>185471</v>
      </c>
    </row>
    <row r="16" spans="2:8" x14ac:dyDescent="0.2">
      <c r="B16" s="26" t="s">
        <v>573</v>
      </c>
      <c r="C16" s="66" t="s">
        <v>576</v>
      </c>
      <c r="D16" s="27">
        <v>184082</v>
      </c>
    </row>
    <row r="17" spans="2:13" x14ac:dyDescent="0.2">
      <c r="B17" s="26" t="s">
        <v>573</v>
      </c>
      <c r="C17" s="66" t="s">
        <v>577</v>
      </c>
      <c r="D17" s="27">
        <v>179189</v>
      </c>
    </row>
    <row r="18" spans="2:13" x14ac:dyDescent="0.2">
      <c r="B18" s="26" t="s">
        <v>573</v>
      </c>
      <c r="C18" s="66" t="s">
        <v>578</v>
      </c>
      <c r="D18" s="27">
        <v>174990</v>
      </c>
    </row>
    <row r="19" spans="2:13" x14ac:dyDescent="0.2">
      <c r="B19" s="26" t="s">
        <v>573</v>
      </c>
      <c r="C19" s="66" t="s">
        <v>579</v>
      </c>
      <c r="D19" s="27">
        <v>170500</v>
      </c>
    </row>
    <row r="20" spans="2:13" ht="17" thickBot="1" x14ac:dyDescent="0.25">
      <c r="B20" s="28" t="s">
        <v>573</v>
      </c>
      <c r="C20" s="9" t="s">
        <v>580</v>
      </c>
      <c r="D20" s="29">
        <v>167351</v>
      </c>
    </row>
    <row r="21" spans="2:13" ht="17" thickBot="1" x14ac:dyDescent="0.25"/>
    <row r="22" spans="2:13" ht="17" thickBot="1" x14ac:dyDescent="0.25">
      <c r="E22" s="63" t="s">
        <v>558</v>
      </c>
      <c r="F22" s="64" t="s">
        <v>559</v>
      </c>
      <c r="G22" s="65" t="s">
        <v>66</v>
      </c>
      <c r="H22" s="67" t="s">
        <v>582</v>
      </c>
      <c r="J22" s="63" t="s">
        <v>558</v>
      </c>
      <c r="K22" s="64" t="s">
        <v>559</v>
      </c>
      <c r="L22" s="65" t="s">
        <v>66</v>
      </c>
      <c r="M22" s="67" t="s">
        <v>582</v>
      </c>
    </row>
    <row r="23" spans="2:13" x14ac:dyDescent="0.2">
      <c r="E23" s="23" t="s">
        <v>560</v>
      </c>
      <c r="F23" s="24" t="s">
        <v>561</v>
      </c>
      <c r="G23" s="25">
        <v>208968</v>
      </c>
      <c r="H23">
        <v>1</v>
      </c>
      <c r="J23" s="23" t="s">
        <v>560</v>
      </c>
      <c r="K23" s="24" t="s">
        <v>561</v>
      </c>
      <c r="L23" s="25">
        <v>208968</v>
      </c>
      <c r="M23">
        <v>1</v>
      </c>
    </row>
    <row r="24" spans="2:13" x14ac:dyDescent="0.2">
      <c r="E24" s="26" t="s">
        <v>560</v>
      </c>
      <c r="F24" s="66" t="s">
        <v>562</v>
      </c>
      <c r="G24" s="27">
        <v>207776</v>
      </c>
      <c r="H24">
        <v>2</v>
      </c>
      <c r="J24" s="26" t="s">
        <v>560</v>
      </c>
      <c r="K24" s="66" t="s">
        <v>562</v>
      </c>
      <c r="L24" s="27">
        <v>207776</v>
      </c>
      <c r="M24">
        <v>2</v>
      </c>
    </row>
    <row r="25" spans="2:13" ht="17" thickBot="1" x14ac:dyDescent="0.25">
      <c r="E25" s="26" t="s">
        <v>560</v>
      </c>
      <c r="F25" s="66" t="s">
        <v>563</v>
      </c>
      <c r="G25" s="27">
        <v>197830</v>
      </c>
      <c r="H25">
        <v>3</v>
      </c>
      <c r="J25" s="26" t="s">
        <v>560</v>
      </c>
      <c r="K25" s="66" t="s">
        <v>563</v>
      </c>
      <c r="L25" s="27">
        <v>197830</v>
      </c>
      <c r="M25">
        <v>3</v>
      </c>
    </row>
    <row r="26" spans="2:13" x14ac:dyDescent="0.2">
      <c r="E26" s="26" t="s">
        <v>560</v>
      </c>
      <c r="F26" s="66" t="s">
        <v>564</v>
      </c>
      <c r="G26" s="27">
        <v>190673</v>
      </c>
      <c r="H26">
        <v>4</v>
      </c>
      <c r="J26" s="23" t="s">
        <v>567</v>
      </c>
      <c r="K26" s="24" t="s">
        <v>568</v>
      </c>
      <c r="L26" s="25">
        <v>249274</v>
      </c>
      <c r="M26">
        <v>1</v>
      </c>
    </row>
    <row r="27" spans="2:13" x14ac:dyDescent="0.2">
      <c r="E27" s="26" t="s">
        <v>560</v>
      </c>
      <c r="F27" s="66" t="s">
        <v>565</v>
      </c>
      <c r="G27" s="27">
        <v>171340</v>
      </c>
      <c r="H27">
        <v>5</v>
      </c>
      <c r="J27" s="26" t="s">
        <v>567</v>
      </c>
      <c r="K27" s="66" t="s">
        <v>569</v>
      </c>
      <c r="L27" s="27">
        <v>247453</v>
      </c>
      <c r="M27">
        <v>2</v>
      </c>
    </row>
    <row r="28" spans="2:13" ht="17" thickBot="1" x14ac:dyDescent="0.25">
      <c r="E28" s="28" t="s">
        <v>560</v>
      </c>
      <c r="F28" s="9" t="s">
        <v>566</v>
      </c>
      <c r="G28" s="29">
        <v>170254</v>
      </c>
      <c r="H28">
        <v>6</v>
      </c>
      <c r="J28" s="26" t="s">
        <v>567</v>
      </c>
      <c r="K28" s="66" t="s">
        <v>570</v>
      </c>
      <c r="L28" s="27">
        <v>238367</v>
      </c>
      <c r="M28">
        <v>3</v>
      </c>
    </row>
    <row r="29" spans="2:13" x14ac:dyDescent="0.2">
      <c r="E29" s="23" t="s">
        <v>567</v>
      </c>
      <c r="F29" s="24" t="s">
        <v>568</v>
      </c>
      <c r="G29" s="25">
        <v>249274</v>
      </c>
      <c r="H29">
        <v>1</v>
      </c>
      <c r="J29" s="23" t="s">
        <v>573</v>
      </c>
      <c r="K29" s="24" t="s">
        <v>574</v>
      </c>
      <c r="L29" s="25">
        <v>197871</v>
      </c>
      <c r="M29">
        <v>1</v>
      </c>
    </row>
    <row r="30" spans="2:13" x14ac:dyDescent="0.2">
      <c r="E30" s="26" t="s">
        <v>567</v>
      </c>
      <c r="F30" s="66" t="s">
        <v>569</v>
      </c>
      <c r="G30" s="27">
        <v>247453</v>
      </c>
      <c r="H30">
        <v>2</v>
      </c>
      <c r="J30" s="26" t="s">
        <v>573</v>
      </c>
      <c r="K30" s="66" t="s">
        <v>575</v>
      </c>
      <c r="L30" s="27">
        <v>185471</v>
      </c>
      <c r="M30">
        <v>2</v>
      </c>
    </row>
    <row r="31" spans="2:13" x14ac:dyDescent="0.2">
      <c r="E31" s="26" t="s">
        <v>567</v>
      </c>
      <c r="F31" s="66" t="s">
        <v>570</v>
      </c>
      <c r="G31" s="27">
        <v>238367</v>
      </c>
      <c r="H31">
        <v>3</v>
      </c>
      <c r="J31" s="26" t="s">
        <v>573</v>
      </c>
      <c r="K31" s="66" t="s">
        <v>576</v>
      </c>
      <c r="L31" s="27">
        <v>184082</v>
      </c>
      <c r="M31">
        <v>3</v>
      </c>
    </row>
    <row r="32" spans="2:13" x14ac:dyDescent="0.2">
      <c r="E32" s="26" t="s">
        <v>567</v>
      </c>
      <c r="F32" s="66" t="s">
        <v>571</v>
      </c>
      <c r="G32" s="27">
        <v>216817</v>
      </c>
      <c r="H32">
        <v>4</v>
      </c>
    </row>
    <row r="33" spans="2:8" ht="17" thickBot="1" x14ac:dyDescent="0.25">
      <c r="E33" s="28" t="s">
        <v>567</v>
      </c>
      <c r="F33" s="9" t="s">
        <v>572</v>
      </c>
      <c r="G33" s="29">
        <v>206773</v>
      </c>
      <c r="H33">
        <v>5</v>
      </c>
    </row>
    <row r="34" spans="2:8" x14ac:dyDescent="0.2">
      <c r="E34" s="23" t="s">
        <v>573</v>
      </c>
      <c r="F34" s="24" t="s">
        <v>574</v>
      </c>
      <c r="G34" s="25">
        <v>197871</v>
      </c>
      <c r="H34">
        <v>1</v>
      </c>
    </row>
    <row r="35" spans="2:8" x14ac:dyDescent="0.2">
      <c r="E35" s="26" t="s">
        <v>573</v>
      </c>
      <c r="F35" s="66" t="s">
        <v>575</v>
      </c>
      <c r="G35" s="27">
        <v>185471</v>
      </c>
      <c r="H35">
        <v>2</v>
      </c>
    </row>
    <row r="36" spans="2:8" x14ac:dyDescent="0.2">
      <c r="E36" s="26" t="s">
        <v>573</v>
      </c>
      <c r="F36" s="66" t="s">
        <v>576</v>
      </c>
      <c r="G36" s="27">
        <v>184082</v>
      </c>
      <c r="H36">
        <v>3</v>
      </c>
    </row>
    <row r="37" spans="2:8" x14ac:dyDescent="0.2">
      <c r="E37" s="26" t="s">
        <v>573</v>
      </c>
      <c r="F37" s="66" t="s">
        <v>577</v>
      </c>
      <c r="G37" s="27">
        <v>179189</v>
      </c>
      <c r="H37">
        <v>4</v>
      </c>
    </row>
    <row r="38" spans="2:8" x14ac:dyDescent="0.2">
      <c r="E38" s="26" t="s">
        <v>573</v>
      </c>
      <c r="F38" s="66" t="s">
        <v>578</v>
      </c>
      <c r="G38" s="27">
        <v>174990</v>
      </c>
      <c r="H38">
        <v>5</v>
      </c>
    </row>
    <row r="39" spans="2:8" x14ac:dyDescent="0.2">
      <c r="E39" s="26" t="s">
        <v>573</v>
      </c>
      <c r="F39" s="66" t="s">
        <v>579</v>
      </c>
      <c r="G39" s="27">
        <v>170500</v>
      </c>
      <c r="H39">
        <v>6</v>
      </c>
    </row>
    <row r="40" spans="2:8" ht="17" thickBot="1" x14ac:dyDescent="0.25">
      <c r="E40" s="28" t="s">
        <v>573</v>
      </c>
      <c r="F40" s="9" t="s">
        <v>580</v>
      </c>
      <c r="G40" s="29">
        <v>167351</v>
      </c>
      <c r="H40">
        <v>7</v>
      </c>
    </row>
    <row r="44" spans="2:8" x14ac:dyDescent="0.2">
      <c r="B44" t="s">
        <v>584</v>
      </c>
      <c r="C44" t="s">
        <v>583</v>
      </c>
    </row>
    <row r="45" spans="2:8" x14ac:dyDescent="0.2">
      <c r="D45" t="s">
        <v>585</v>
      </c>
      <c r="E45" t="s">
        <v>586</v>
      </c>
    </row>
    <row r="46" spans="2:8" x14ac:dyDescent="0.2">
      <c r="D46" t="s">
        <v>263</v>
      </c>
      <c r="E46" t="s">
        <v>587</v>
      </c>
    </row>
    <row r="48" spans="2:8" x14ac:dyDescent="0.2">
      <c r="D48" t="s">
        <v>588</v>
      </c>
    </row>
    <row r="50" spans="4:8" ht="17" thickBot="1" x14ac:dyDescent="0.25"/>
    <row r="51" spans="4:8" ht="17" thickBot="1" x14ac:dyDescent="0.25">
      <c r="D51" s="63" t="s">
        <v>558</v>
      </c>
      <c r="E51" s="64" t="s">
        <v>559</v>
      </c>
      <c r="F51" s="65" t="s">
        <v>66</v>
      </c>
      <c r="G51" s="67" t="s">
        <v>589</v>
      </c>
      <c r="H51" s="67" t="s">
        <v>582</v>
      </c>
    </row>
    <row r="52" spans="4:8" x14ac:dyDescent="0.2">
      <c r="D52" s="23" t="s">
        <v>560</v>
      </c>
      <c r="E52" s="24" t="s">
        <v>561</v>
      </c>
      <c r="F52" s="25">
        <v>208968</v>
      </c>
      <c r="G52">
        <v>1</v>
      </c>
      <c r="H52">
        <v>1</v>
      </c>
    </row>
    <row r="53" spans="4:8" x14ac:dyDescent="0.2">
      <c r="D53" s="26" t="s">
        <v>560</v>
      </c>
      <c r="E53" s="66" t="s">
        <v>562</v>
      </c>
      <c r="F53" s="27">
        <v>207776</v>
      </c>
      <c r="G53">
        <v>2</v>
      </c>
      <c r="H53">
        <v>2</v>
      </c>
    </row>
    <row r="54" spans="4:8" x14ac:dyDescent="0.2">
      <c r="D54" s="26" t="s">
        <v>560</v>
      </c>
      <c r="E54" s="66" t="s">
        <v>563</v>
      </c>
      <c r="F54" s="27">
        <v>197830</v>
      </c>
      <c r="G54">
        <v>3</v>
      </c>
      <c r="H54">
        <v>3</v>
      </c>
    </row>
    <row r="55" spans="4:8" x14ac:dyDescent="0.2">
      <c r="D55" s="26" t="s">
        <v>560</v>
      </c>
      <c r="E55" s="66" t="s">
        <v>564</v>
      </c>
      <c r="F55" s="27">
        <v>190673</v>
      </c>
      <c r="G55">
        <v>4</v>
      </c>
      <c r="H55">
        <v>4</v>
      </c>
    </row>
    <row r="56" spans="4:8" x14ac:dyDescent="0.2">
      <c r="D56" s="26" t="s">
        <v>560</v>
      </c>
      <c r="E56" s="66" t="s">
        <v>565</v>
      </c>
      <c r="F56" s="27">
        <v>171340</v>
      </c>
      <c r="G56">
        <v>5</v>
      </c>
      <c r="H56">
        <v>5</v>
      </c>
    </row>
    <row r="57" spans="4:8" ht="17" thickBot="1" x14ac:dyDescent="0.25">
      <c r="D57" s="28" t="s">
        <v>560</v>
      </c>
      <c r="E57" s="9" t="s">
        <v>566</v>
      </c>
      <c r="F57" s="29">
        <v>170254</v>
      </c>
      <c r="G57">
        <v>6</v>
      </c>
      <c r="H57">
        <v>6</v>
      </c>
    </row>
    <row r="58" spans="4:8" x14ac:dyDescent="0.2">
      <c r="D58" s="23" t="s">
        <v>567</v>
      </c>
      <c r="E58" s="24" t="s">
        <v>568</v>
      </c>
      <c r="F58" s="25">
        <v>249274</v>
      </c>
      <c r="G58">
        <v>7</v>
      </c>
      <c r="H58">
        <v>1</v>
      </c>
    </row>
    <row r="59" spans="4:8" x14ac:dyDescent="0.2">
      <c r="D59" s="26" t="s">
        <v>567</v>
      </c>
      <c r="E59" s="66" t="s">
        <v>569</v>
      </c>
      <c r="F59" s="27">
        <v>247453</v>
      </c>
      <c r="G59">
        <v>8</v>
      </c>
      <c r="H59">
        <v>2</v>
      </c>
    </row>
    <row r="60" spans="4:8" x14ac:dyDescent="0.2">
      <c r="D60" s="26" t="s">
        <v>567</v>
      </c>
      <c r="E60" s="66" t="s">
        <v>570</v>
      </c>
      <c r="F60" s="27">
        <v>238367</v>
      </c>
      <c r="G60">
        <v>9</v>
      </c>
      <c r="H60">
        <v>3</v>
      </c>
    </row>
    <row r="61" spans="4:8" x14ac:dyDescent="0.2">
      <c r="D61" s="26" t="s">
        <v>567</v>
      </c>
      <c r="E61" s="66" t="s">
        <v>571</v>
      </c>
      <c r="F61" s="27">
        <v>216817</v>
      </c>
      <c r="G61">
        <v>10</v>
      </c>
      <c r="H61">
        <v>4</v>
      </c>
    </row>
    <row r="62" spans="4:8" ht="17" thickBot="1" x14ac:dyDescent="0.25">
      <c r="D62" s="28" t="s">
        <v>567</v>
      </c>
      <c r="E62" s="9" t="s">
        <v>572</v>
      </c>
      <c r="F62" s="29">
        <v>206773</v>
      </c>
      <c r="G62">
        <v>11</v>
      </c>
      <c r="H62">
        <v>5</v>
      </c>
    </row>
    <row r="63" spans="4:8" x14ac:dyDescent="0.2">
      <c r="D63" s="23" t="s">
        <v>573</v>
      </c>
      <c r="E63" s="24" t="s">
        <v>574</v>
      </c>
      <c r="F63" s="25">
        <v>197871</v>
      </c>
      <c r="G63">
        <v>12</v>
      </c>
      <c r="H63">
        <v>1</v>
      </c>
    </row>
    <row r="64" spans="4:8" x14ac:dyDescent="0.2">
      <c r="D64" s="26" t="s">
        <v>573</v>
      </c>
      <c r="E64" s="66" t="s">
        <v>575</v>
      </c>
      <c r="F64" s="27">
        <v>185471</v>
      </c>
      <c r="G64">
        <v>13</v>
      </c>
      <c r="H64">
        <v>2</v>
      </c>
    </row>
    <row r="65" spans="4:8" x14ac:dyDescent="0.2">
      <c r="D65" s="26" t="s">
        <v>573</v>
      </c>
      <c r="E65" s="66" t="s">
        <v>576</v>
      </c>
      <c r="F65" s="27">
        <v>184082</v>
      </c>
      <c r="G65">
        <v>14</v>
      </c>
      <c r="H65">
        <v>3</v>
      </c>
    </row>
    <row r="66" spans="4:8" x14ac:dyDescent="0.2">
      <c r="D66" s="26" t="s">
        <v>573</v>
      </c>
      <c r="E66" s="66" t="s">
        <v>577</v>
      </c>
      <c r="F66" s="27">
        <v>179189</v>
      </c>
      <c r="G66">
        <v>15</v>
      </c>
      <c r="H66">
        <v>4</v>
      </c>
    </row>
    <row r="67" spans="4:8" x14ac:dyDescent="0.2">
      <c r="D67" s="26" t="s">
        <v>573</v>
      </c>
      <c r="E67" s="66" t="s">
        <v>578</v>
      </c>
      <c r="F67" s="27">
        <v>174990</v>
      </c>
      <c r="G67">
        <v>16</v>
      </c>
      <c r="H67">
        <v>5</v>
      </c>
    </row>
    <row r="68" spans="4:8" x14ac:dyDescent="0.2">
      <c r="D68" s="26" t="s">
        <v>573</v>
      </c>
      <c r="E68" s="66" t="s">
        <v>579</v>
      </c>
      <c r="F68" s="27">
        <v>170500</v>
      </c>
      <c r="G68">
        <v>17</v>
      </c>
      <c r="H68">
        <v>6</v>
      </c>
    </row>
    <row r="69" spans="4:8" ht="17" thickBot="1" x14ac:dyDescent="0.25">
      <c r="D69" s="28" t="s">
        <v>573</v>
      </c>
      <c r="E69" s="9" t="s">
        <v>580</v>
      </c>
      <c r="F69" s="29">
        <v>167351</v>
      </c>
      <c r="G69">
        <v>18</v>
      </c>
      <c r="H69">
        <v>7</v>
      </c>
    </row>
    <row r="72" spans="4:8" x14ac:dyDescent="0.2">
      <c r="E72" t="s">
        <v>582</v>
      </c>
      <c r="F72" t="s">
        <v>581</v>
      </c>
      <c r="G72" t="s">
        <v>590</v>
      </c>
    </row>
    <row r="73" spans="4:8" x14ac:dyDescent="0.2">
      <c r="D73">
        <v>5</v>
      </c>
      <c r="E73">
        <v>1</v>
      </c>
      <c r="F73">
        <v>1</v>
      </c>
      <c r="G73">
        <v>1</v>
      </c>
    </row>
    <row r="74" spans="4:8" x14ac:dyDescent="0.2">
      <c r="D74">
        <v>6</v>
      </c>
      <c r="E74">
        <v>2</v>
      </c>
      <c r="F74">
        <v>2</v>
      </c>
      <c r="G74">
        <v>2</v>
      </c>
    </row>
    <row r="75" spans="4:8" x14ac:dyDescent="0.2">
      <c r="D75">
        <v>6</v>
      </c>
      <c r="E75">
        <v>3</v>
      </c>
      <c r="F75">
        <v>2</v>
      </c>
      <c r="G75">
        <v>2</v>
      </c>
    </row>
    <row r="76" spans="4:8" x14ac:dyDescent="0.2">
      <c r="D76">
        <v>7</v>
      </c>
      <c r="E76">
        <v>4</v>
      </c>
      <c r="F76">
        <v>4</v>
      </c>
      <c r="G76">
        <v>3</v>
      </c>
    </row>
    <row r="77" spans="4:8" x14ac:dyDescent="0.2">
      <c r="D77">
        <v>8</v>
      </c>
      <c r="E77">
        <v>5</v>
      </c>
      <c r="F77">
        <v>5</v>
      </c>
      <c r="G77">
        <v>4</v>
      </c>
    </row>
    <row r="78" spans="4:8" x14ac:dyDescent="0.2">
      <c r="D78">
        <v>8</v>
      </c>
      <c r="E78">
        <v>6</v>
      </c>
      <c r="F78">
        <v>5</v>
      </c>
      <c r="G78">
        <v>4</v>
      </c>
    </row>
    <row r="79" spans="4:8" x14ac:dyDescent="0.2">
      <c r="D79">
        <v>8</v>
      </c>
      <c r="E79">
        <v>7</v>
      </c>
      <c r="F79">
        <v>5</v>
      </c>
      <c r="G79">
        <v>4</v>
      </c>
    </row>
    <row r="80" spans="4:8" x14ac:dyDescent="0.2">
      <c r="D80">
        <v>9</v>
      </c>
      <c r="E80">
        <v>8</v>
      </c>
      <c r="F80">
        <v>8</v>
      </c>
      <c r="G80">
        <v>5</v>
      </c>
    </row>
    <row r="81" spans="3:9" x14ac:dyDescent="0.2">
      <c r="D81">
        <v>10</v>
      </c>
      <c r="E81">
        <v>9</v>
      </c>
      <c r="F81">
        <v>9</v>
      </c>
      <c r="G81">
        <v>6</v>
      </c>
    </row>
    <row r="84" spans="3:9" x14ac:dyDescent="0.2">
      <c r="C84">
        <v>1</v>
      </c>
      <c r="D84">
        <v>1</v>
      </c>
      <c r="E84" s="57">
        <v>20</v>
      </c>
      <c r="F84">
        <v>1</v>
      </c>
      <c r="G84">
        <v>3</v>
      </c>
      <c r="H84">
        <v>5</v>
      </c>
      <c r="I84">
        <v>7</v>
      </c>
    </row>
    <row r="85" spans="3:9" x14ac:dyDescent="0.2">
      <c r="C85">
        <v>1</v>
      </c>
      <c r="D85">
        <v>2</v>
      </c>
      <c r="E85" s="57"/>
      <c r="F85">
        <v>2</v>
      </c>
      <c r="G85">
        <v>4</v>
      </c>
      <c r="H85">
        <v>6</v>
      </c>
      <c r="I85">
        <v>8</v>
      </c>
    </row>
    <row r="86" spans="3:9" x14ac:dyDescent="0.2">
      <c r="C86">
        <v>2</v>
      </c>
      <c r="D86">
        <v>3</v>
      </c>
      <c r="E86" s="57">
        <v>20</v>
      </c>
      <c r="F86">
        <v>9</v>
      </c>
      <c r="G86">
        <v>10</v>
      </c>
      <c r="H86">
        <v>11</v>
      </c>
    </row>
    <row r="87" spans="3:9" x14ac:dyDescent="0.2">
      <c r="C87">
        <v>2</v>
      </c>
      <c r="D87">
        <v>4</v>
      </c>
      <c r="E87" s="57"/>
    </row>
    <row r="88" spans="3:9" x14ac:dyDescent="0.2">
      <c r="C88">
        <v>3</v>
      </c>
      <c r="D88">
        <v>5</v>
      </c>
      <c r="E88" s="57">
        <v>20</v>
      </c>
    </row>
    <row r="89" spans="3:9" x14ac:dyDescent="0.2">
      <c r="C89">
        <v>3</v>
      </c>
      <c r="D89">
        <v>6</v>
      </c>
      <c r="E89" s="57"/>
    </row>
    <row r="90" spans="3:9" x14ac:dyDescent="0.2">
      <c r="C90">
        <v>4</v>
      </c>
      <c r="D90">
        <v>7</v>
      </c>
      <c r="E90" s="57">
        <v>20</v>
      </c>
    </row>
    <row r="91" spans="3:9" x14ac:dyDescent="0.2">
      <c r="C91">
        <v>4</v>
      </c>
      <c r="D91">
        <v>8</v>
      </c>
      <c r="E91" s="57"/>
    </row>
    <row r="92" spans="3:9" x14ac:dyDescent="0.2">
      <c r="C92">
        <v>5</v>
      </c>
      <c r="D92">
        <v>9</v>
      </c>
      <c r="E92" s="57">
        <v>20</v>
      </c>
    </row>
    <row r="93" spans="3:9" x14ac:dyDescent="0.2">
      <c r="C93">
        <v>5</v>
      </c>
      <c r="D93">
        <v>10</v>
      </c>
      <c r="E93" s="57"/>
    </row>
  </sheetData>
  <mergeCells count="5">
    <mergeCell ref="E84:E85"/>
    <mergeCell ref="E86:E87"/>
    <mergeCell ref="E88:E89"/>
    <mergeCell ref="E90:E91"/>
    <mergeCell ref="E92:E9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03</vt:lpstr>
      <vt:lpstr>04</vt:lpstr>
      <vt:lpstr>05</vt:lpstr>
      <vt:lpstr>06</vt:lpstr>
      <vt:lpstr>07</vt:lpstr>
      <vt:lpstr>08</vt:lpstr>
      <vt:lpstr>09-10</vt:lpstr>
      <vt:lpstr>11</vt:lpstr>
      <vt:lpstr>12</vt:lpstr>
      <vt:lpstr>13</vt:lpstr>
      <vt:lpstr>14-15</vt:lpstr>
      <vt:lpstr>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Shiraj Ahmad</dc:creator>
  <cp:lastModifiedBy>Shiraj Ahmad</cp:lastModifiedBy>
  <dcterms:created xsi:type="dcterms:W3CDTF">2026-06-21T16:17:46Z</dcterms:created>
  <dcterms:modified xsi:type="dcterms:W3CDTF">2026-07-19T16:33:27Z</dcterms:modified>
</cp:coreProperties>
</file>