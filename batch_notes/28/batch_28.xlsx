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ink/ink4.xml" ContentType="application/inkml+xml"/>
  <Override PartName="/xl/ink/ink5.xml" ContentType="application/inkml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ink/ink6.xml" ContentType="application/inkml+xml"/>
  <Override PartName="/xl/ink/ink7.xml" ContentType="application/inkml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hira_2/__work__/acciojob/modules/sql/postgresql/batch_notes/28/"/>
    </mc:Choice>
  </mc:AlternateContent>
  <xr:revisionPtr revIDLastSave="0" documentId="13_ncr:1_{33391F5C-9BF9-4040-9E83-25B3D02CD98B}" xr6:coauthVersionLast="47" xr6:coauthVersionMax="47" xr10:uidLastSave="{00000000-0000-0000-0000-000000000000}"/>
  <bookViews>
    <workbookView xWindow="-38400" yWindow="-2480" windowWidth="38400" windowHeight="21600" activeTab="9" xr2:uid="{C88571CB-2605-694D-B9DF-E4D6E422F2C7}"/>
  </bookViews>
  <sheets>
    <sheet name="Intro to SQL" sheetId="1" r:id="rId1"/>
    <sheet name="Installation &amp; Onboarding" sheetId="2" r:id="rId2"/>
    <sheet name="DDL &amp; DML" sheetId="3" r:id="rId3"/>
    <sheet name="Data Type &amp; Constraints" sheetId="4" r:id="rId4"/>
    <sheet name="Filtering &amp; Sorting" sheetId="5" r:id="rId5"/>
    <sheet name="Scalar Functions" sheetId="6" r:id="rId6"/>
    <sheet name="Conditional Logic &amp; Derived Col" sheetId="7" r:id="rId7"/>
    <sheet name="Aggregate Functions &amp; Group By" sheetId="8" r:id="rId8"/>
    <sheet name="Join Part 1 &amp; 2" sheetId="9" r:id="rId9"/>
    <sheet name="Self Join" sheetId="10" r:id="rId10"/>
  </sheets>
  <calcPr calcId="191029"/>
  <pivotCaches>
    <pivotCache cacheId="0" r:id="rId11"/>
    <pivotCache cacheId="1" r:id="rId12"/>
    <pivotCache cacheId="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" i="10" l="1"/>
  <c r="G16" i="10"/>
  <c r="J289" i="9"/>
  <c r="E282" i="9"/>
  <c r="E281" i="9"/>
  <c r="E280" i="9"/>
  <c r="F274" i="9"/>
  <c r="E121" i="8"/>
  <c r="G98" i="8" a="1"/>
  <c r="E98" i="8" a="1"/>
  <c r="F58" i="8"/>
  <c r="G56" i="8"/>
  <c r="F56" i="8"/>
  <c r="H72" i="7"/>
  <c r="D76" i="7"/>
  <c r="J48" i="7"/>
  <c r="H6" i="7"/>
  <c r="J57" i="6"/>
  <c r="J56" i="6"/>
  <c r="F36" i="6"/>
  <c r="D37" i="6"/>
  <c r="D38" i="6"/>
  <c r="D36" i="6"/>
  <c r="H93" i="5"/>
  <c r="H87" i="5"/>
  <c r="H88" i="5"/>
  <c r="H89" i="5"/>
  <c r="H90" i="5"/>
  <c r="H91" i="5"/>
  <c r="H92" i="5"/>
  <c r="H85" i="5"/>
  <c r="H86" i="5"/>
  <c r="H84" i="5"/>
  <c r="I2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<sst xmlns="http://schemas.openxmlformats.org/spreadsheetml/2006/main" count="1511" uniqueCount="773">
  <si>
    <t>Warehouse</t>
  </si>
  <si>
    <t>Manager</t>
  </si>
  <si>
    <t>Delivery</t>
  </si>
  <si>
    <t>Customer</t>
  </si>
  <si>
    <t>Database</t>
  </si>
  <si>
    <t>DBMS</t>
  </si>
  <si>
    <t>SQL</t>
  </si>
  <si>
    <t>User</t>
  </si>
  <si>
    <t>Storage Unit</t>
  </si>
  <si>
    <t>Database Management System</t>
  </si>
  <si>
    <t>Well structured Language for quering</t>
  </si>
  <si>
    <t>Hard disk</t>
  </si>
  <si>
    <t>PostgresSQL</t>
  </si>
  <si>
    <t>Pgadmin4</t>
  </si>
  <si>
    <t>Amazon Server</t>
  </si>
  <si>
    <t>Amazon.in</t>
  </si>
  <si>
    <t>Customers</t>
  </si>
  <si>
    <t>Orders</t>
  </si>
  <si>
    <t>table1</t>
  </si>
  <si>
    <t>table2</t>
  </si>
  <si>
    <t>Amazon</t>
  </si>
  <si>
    <t>Supplier</t>
  </si>
  <si>
    <t>Employee</t>
  </si>
  <si>
    <t>Sales</t>
  </si>
  <si>
    <t>Hr</t>
  </si>
  <si>
    <t>Marketing</t>
  </si>
  <si>
    <t>personal Details</t>
  </si>
  <si>
    <t>Addresses</t>
  </si>
  <si>
    <t>payment methods</t>
  </si>
  <si>
    <t>Loyalty point</t>
  </si>
  <si>
    <t>Library</t>
  </si>
  <si>
    <t>A</t>
  </si>
  <si>
    <t>B</t>
  </si>
  <si>
    <t>Publisher</t>
  </si>
  <si>
    <t>subject</t>
  </si>
  <si>
    <t>Schema</t>
  </si>
  <si>
    <t>Tables</t>
  </si>
  <si>
    <t xml:space="preserve">Reatilmart </t>
  </si>
  <si>
    <t>customer_details</t>
  </si>
  <si>
    <t>address</t>
  </si>
  <si>
    <t>loyalty</t>
  </si>
  <si>
    <t>Steps</t>
  </si>
  <si>
    <t>open git repo</t>
  </si>
  <si>
    <t>https://github.com/starlordali4444/postgresql.git</t>
  </si>
  <si>
    <t>open vs code</t>
  </si>
  <si>
    <t>in vs code click on open folder</t>
  </si>
  <si>
    <t>create sql folder in any location except ondrive</t>
  </si>
  <si>
    <t>open terminal in vs code</t>
  </si>
  <si>
    <t>enter command =&gt; git clone https://github.com/starlordali4444/postgresql.git</t>
  </si>
  <si>
    <t>wait for cloning</t>
  </si>
  <si>
    <t>once done</t>
  </si>
  <si>
    <t xml:space="preserve">enter in terminal =&gt; cd postgre </t>
  </si>
  <si>
    <t>press tab</t>
  </si>
  <si>
    <t>psql -U postgres -d postgres -f datasets\v3\sql\setup_accio_retailmart.sql</t>
  </si>
  <si>
    <t>once its completed keep pressing enter to get all the tables</t>
  </si>
  <si>
    <t>then go to pgadmin 4</t>
  </si>
  <si>
    <t xml:space="preserve">right click on databases </t>
  </si>
  <si>
    <t>click refresh</t>
  </si>
  <si>
    <t>you will see accio_retailmart_ database</t>
  </si>
  <si>
    <t>click on the above database to connect</t>
  </si>
  <si>
    <t>right click on the above database then click on properties</t>
  </si>
  <si>
    <t>add 28 in the of database name</t>
  </si>
  <si>
    <t xml:space="preserve">click ok </t>
  </si>
  <si>
    <t xml:space="preserve">we are done </t>
  </si>
  <si>
    <t>Books</t>
  </si>
  <si>
    <t>Students</t>
  </si>
  <si>
    <t>Borrowing/Returning</t>
  </si>
  <si>
    <t>Schemas</t>
  </si>
  <si>
    <t>Column2</t>
  </si>
  <si>
    <t>Column3</t>
  </si>
  <si>
    <t>Column4</t>
  </si>
  <si>
    <t>Column5</t>
  </si>
  <si>
    <t>Student_id</t>
  </si>
  <si>
    <t>Ali</t>
  </si>
  <si>
    <t>accio_28</t>
  </si>
  <si>
    <t>shop</t>
  </si>
  <si>
    <t>people</t>
  </si>
  <si>
    <t>transaction</t>
  </si>
  <si>
    <t>table</t>
  </si>
  <si>
    <t>student_id</t>
  </si>
  <si>
    <t>name</t>
  </si>
  <si>
    <t>Rahul</t>
  </si>
  <si>
    <t>Mohan</t>
  </si>
  <si>
    <t>Sita</t>
  </si>
  <si>
    <t>Mohan Kumar</t>
  </si>
  <si>
    <t>Update table Students</t>
  </si>
  <si>
    <t>set name = 'Mohan Kumar'</t>
  </si>
  <si>
    <t>where student_id = 2</t>
  </si>
  <si>
    <t xml:space="preserve">delete from students </t>
  </si>
  <si>
    <t>where student_id =2</t>
  </si>
  <si>
    <t>dd/mm/yy</t>
  </si>
  <si>
    <t>15/12/99</t>
  </si>
  <si>
    <t>Rs 15000</t>
  </si>
  <si>
    <t>Numbers</t>
  </si>
  <si>
    <t>String</t>
  </si>
  <si>
    <t>Date</t>
  </si>
  <si>
    <t>Advance Data Type</t>
  </si>
  <si>
    <t>smallint</t>
  </si>
  <si>
    <t>int</t>
  </si>
  <si>
    <t>bigint</t>
  </si>
  <si>
    <t>decimal</t>
  </si>
  <si>
    <t>numeric</t>
  </si>
  <si>
    <t>char</t>
  </si>
  <si>
    <t>varchar</t>
  </si>
  <si>
    <t>text</t>
  </si>
  <si>
    <t>date</t>
  </si>
  <si>
    <t>time</t>
  </si>
  <si>
    <t>timestamp</t>
  </si>
  <si>
    <t>timestamptz</t>
  </si>
  <si>
    <t>internal</t>
  </si>
  <si>
    <t>Boolean</t>
  </si>
  <si>
    <t>JSON</t>
  </si>
  <si>
    <t>JSONB</t>
  </si>
  <si>
    <t>Kid</t>
  </si>
  <si>
    <t>5 Years</t>
  </si>
  <si>
    <t>Guy</t>
  </si>
  <si>
    <t>25 Years</t>
  </si>
  <si>
    <t>2 Kg</t>
  </si>
  <si>
    <t>2kg</t>
  </si>
  <si>
    <t>100 gm</t>
  </si>
  <si>
    <t>1.5 Kg</t>
  </si>
  <si>
    <t>Integer</t>
  </si>
  <si>
    <t>Whole No + Negative Natural No</t>
  </si>
  <si>
    <t>Int</t>
  </si>
  <si>
    <t>Bigint</t>
  </si>
  <si>
    <t>Serial</t>
  </si>
  <si>
    <t>Bigserial</t>
  </si>
  <si>
    <t>serial</t>
  </si>
  <si>
    <t>null</t>
  </si>
  <si>
    <t xml:space="preserve">Booked </t>
  </si>
  <si>
    <t>5 Ticket</t>
  </si>
  <si>
    <t>Bus</t>
  </si>
  <si>
    <t>2 friends I cant come</t>
  </si>
  <si>
    <t>Character</t>
  </si>
  <si>
    <t>Varing Character</t>
  </si>
  <si>
    <t>Siraj</t>
  </si>
  <si>
    <t>S</t>
  </si>
  <si>
    <t>I</t>
  </si>
  <si>
    <t>R</t>
  </si>
  <si>
    <t>J</t>
  </si>
  <si>
    <t>Fixed</t>
  </si>
  <si>
    <t>\0</t>
  </si>
  <si>
    <t>7 bits of memory</t>
  </si>
  <si>
    <t>5 bits of memory</t>
  </si>
  <si>
    <t>Text</t>
  </si>
  <si>
    <t>Unlimited</t>
  </si>
  <si>
    <t>UUID</t>
  </si>
  <si>
    <t>256 bit encryption</t>
  </si>
  <si>
    <t>4f16s51fv6s1vd6s1v6s16v1s61v987f4gv6sf41v98sv165</t>
  </si>
  <si>
    <t>ARRAY</t>
  </si>
  <si>
    <t>Not NULL</t>
  </si>
  <si>
    <t>Insert ALI</t>
  </si>
  <si>
    <t>Reject</t>
  </si>
  <si>
    <t>Inserting 1 Ali</t>
  </si>
  <si>
    <t>Inserting ' ' Ali</t>
  </si>
  <si>
    <t>status</t>
  </si>
  <si>
    <t>Varchar</t>
  </si>
  <si>
    <t>NULL</t>
  </si>
  <si>
    <t>Default =&gt; Active</t>
  </si>
  <si>
    <t>Active</t>
  </si>
  <si>
    <t>UNIQUE</t>
  </si>
  <si>
    <t>Unknown</t>
  </si>
  <si>
    <t>Bag</t>
  </si>
  <si>
    <t>age</t>
  </si>
  <si>
    <t>Check age&gt;=5</t>
  </si>
  <si>
    <t>Custom Rule</t>
  </si>
  <si>
    <t>age&gt;=18</t>
  </si>
  <si>
    <t>Order_status</t>
  </si>
  <si>
    <t>delivered</t>
  </si>
  <si>
    <t>cancelled</t>
  </si>
  <si>
    <t>processing</t>
  </si>
  <si>
    <t>shipped</t>
  </si>
  <si>
    <t>Aadhar</t>
  </si>
  <si>
    <t>Voter ID</t>
  </si>
  <si>
    <t>Passport</t>
  </si>
  <si>
    <t>Pan Card</t>
  </si>
  <si>
    <t>Driving License</t>
  </si>
  <si>
    <t>customer_id</t>
  </si>
  <si>
    <t>email</t>
  </si>
  <si>
    <t>Primary Key</t>
  </si>
  <si>
    <t>Unique + Not Null + ?</t>
  </si>
  <si>
    <t>col1</t>
  </si>
  <si>
    <t>col2</t>
  </si>
  <si>
    <t>col3</t>
  </si>
  <si>
    <t>col4</t>
  </si>
  <si>
    <t>col5</t>
  </si>
  <si>
    <t>U + NN</t>
  </si>
  <si>
    <t>PK</t>
  </si>
  <si>
    <t>Table1</t>
  </si>
  <si>
    <t>tc1</t>
  </si>
  <si>
    <t>tc2</t>
  </si>
  <si>
    <t>FK</t>
  </si>
  <si>
    <t>RDBMS</t>
  </si>
  <si>
    <t>First Day of College</t>
  </si>
  <si>
    <t>Last Day</t>
  </si>
  <si>
    <t>Attendance</t>
  </si>
  <si>
    <t>emp_id</t>
  </si>
  <si>
    <t>att_date</t>
  </si>
  <si>
    <t>P</t>
  </si>
  <si>
    <t>Composite Primary Key</t>
  </si>
  <si>
    <t>full_name</t>
  </si>
  <si>
    <t>order_id</t>
  </si>
  <si>
    <t>order_total</t>
  </si>
  <si>
    <t>Parent</t>
  </si>
  <si>
    <t xml:space="preserve">Child </t>
  </si>
  <si>
    <t>Child</t>
  </si>
  <si>
    <t>You can't insert in child without parent entry</t>
  </si>
  <si>
    <t>You can't delete from parent untill you have referencing child row</t>
  </si>
  <si>
    <t>ON DELETE Cascade</t>
  </si>
  <si>
    <t>it will delete all child which were referencing the parent value</t>
  </si>
  <si>
    <t>blog_posts</t>
  </si>
  <si>
    <t>post_id</t>
  </si>
  <si>
    <t>title</t>
  </si>
  <si>
    <t>post_comments</t>
  </si>
  <si>
    <t>comment_id</t>
  </si>
  <si>
    <t>Soft Delete</t>
  </si>
  <si>
    <t>SCD Type 2</t>
  </si>
  <si>
    <t>is_deleted</t>
  </si>
  <si>
    <t>When all conditions are true then only it will give true</t>
  </si>
  <si>
    <t>When all conditions are false then only it will give false</t>
  </si>
  <si>
    <t>AND</t>
  </si>
  <si>
    <t>OR</t>
  </si>
  <si>
    <t>NOT</t>
  </si>
  <si>
    <t>condition1 or condition2 and condition3 not condition4 or</t>
  </si>
  <si>
    <t>((condition1 or condition2) and (condition3 not condition4)) or condition 5</t>
  </si>
  <si>
    <t>Mumbai</t>
  </si>
  <si>
    <t>Delhi</t>
  </si>
  <si>
    <t>Startswith</t>
  </si>
  <si>
    <t>Endswith</t>
  </si>
  <si>
    <t>Contain</t>
  </si>
  <si>
    <t>S*</t>
  </si>
  <si>
    <t>*S</t>
  </si>
  <si>
    <t>*S*</t>
  </si>
  <si>
    <t>Like S%</t>
  </si>
  <si>
    <t>Like %S</t>
  </si>
  <si>
    <t>Like %S%</t>
  </si>
  <si>
    <t>it is case sensitive</t>
  </si>
  <si>
    <t>Postgres</t>
  </si>
  <si>
    <t>iLike S%</t>
  </si>
  <si>
    <t>iLike %S</t>
  </si>
  <si>
    <t>iLike %S%</t>
  </si>
  <si>
    <t>Ra_ul</t>
  </si>
  <si>
    <t>Raaul</t>
  </si>
  <si>
    <t>Rabul</t>
  </si>
  <si>
    <t>ASC</t>
  </si>
  <si>
    <t>Desc</t>
  </si>
  <si>
    <t xml:space="preserve">Page 1 </t>
  </si>
  <si>
    <t>1-10</t>
  </si>
  <si>
    <t>Page 2</t>
  </si>
  <si>
    <t>11-20</t>
  </si>
  <si>
    <t>1-2</t>
  </si>
  <si>
    <t>3-4</t>
  </si>
  <si>
    <t>5-6</t>
  </si>
  <si>
    <t>Room 1</t>
  </si>
  <si>
    <t>Room 2</t>
  </si>
  <si>
    <t>Room 3</t>
  </si>
  <si>
    <t>Limit</t>
  </si>
  <si>
    <t>Offset</t>
  </si>
  <si>
    <t>Order By</t>
  </si>
  <si>
    <t>Col1</t>
  </si>
  <si>
    <t>Col2</t>
  </si>
  <si>
    <t>Col3</t>
  </si>
  <si>
    <t>C</t>
  </si>
  <si>
    <t>D</t>
  </si>
  <si>
    <t>Page</t>
  </si>
  <si>
    <t>Rajat</t>
  </si>
  <si>
    <t>Jaiswal</t>
  </si>
  <si>
    <t>Aarav</t>
  </si>
  <si>
    <t>Agrawal</t>
  </si>
  <si>
    <t>FROM</t>
  </si>
  <si>
    <t>JOIN</t>
  </si>
  <si>
    <t>WHERE</t>
  </si>
  <si>
    <t>GROUP BY</t>
  </si>
  <si>
    <t>HAVING</t>
  </si>
  <si>
    <t>Select</t>
  </si>
  <si>
    <t>Order BY</t>
  </si>
  <si>
    <t>table 1</t>
  </si>
  <si>
    <t>id</t>
  </si>
  <si>
    <t>pk</t>
  </si>
  <si>
    <t>id_1</t>
  </si>
  <si>
    <t>fk</t>
  </si>
  <si>
    <t>string</t>
  </si>
  <si>
    <t>1.00</t>
  </si>
  <si>
    <t>1'</t>
  </si>
  <si>
    <t>Scalar</t>
  </si>
  <si>
    <t>Aggregate</t>
  </si>
  <si>
    <t>Watermelon</t>
  </si>
  <si>
    <t>Watermelon Juice</t>
  </si>
  <si>
    <t>Fruit Salad</t>
  </si>
  <si>
    <t>Apple</t>
  </si>
  <si>
    <t>Banana</t>
  </si>
  <si>
    <t>Orange</t>
  </si>
  <si>
    <t>Grapes</t>
  </si>
  <si>
    <t>Musk Melon</t>
  </si>
  <si>
    <t>Water Melon</t>
  </si>
  <si>
    <t>Salt</t>
  </si>
  <si>
    <t>Chat Masala</t>
  </si>
  <si>
    <t>Name</t>
  </si>
  <si>
    <t>Siraj Ali</t>
  </si>
  <si>
    <t>Rohan Kumar</t>
  </si>
  <si>
    <t>Sohel</t>
  </si>
  <si>
    <t>Upper</t>
  </si>
  <si>
    <t>Count</t>
  </si>
  <si>
    <t>Lower</t>
  </si>
  <si>
    <t>Initcap</t>
  </si>
  <si>
    <t>Concat</t>
  </si>
  <si>
    <t>||</t>
  </si>
  <si>
    <t>Length</t>
  </si>
  <si>
    <t>Substring</t>
  </si>
  <si>
    <t>Position</t>
  </si>
  <si>
    <t>Split_part</t>
  </si>
  <si>
    <t>Left</t>
  </si>
  <si>
    <t>Right</t>
  </si>
  <si>
    <t>Trim</t>
  </si>
  <si>
    <t>Ltrim</t>
  </si>
  <si>
    <t>Rtrim</t>
  </si>
  <si>
    <t>Trim any character</t>
  </si>
  <si>
    <t>Both</t>
  </si>
  <si>
    <t>Leading</t>
  </si>
  <si>
    <t>Training</t>
  </si>
  <si>
    <t>Replace</t>
  </si>
  <si>
    <t>String Functions</t>
  </si>
  <si>
    <t>Date Time Functions</t>
  </si>
  <si>
    <t>Data Analyst</t>
  </si>
  <si>
    <t>Finance</t>
  </si>
  <si>
    <t>Now</t>
  </si>
  <si>
    <t>current_date</t>
  </si>
  <si>
    <t>current_time</t>
  </si>
  <si>
    <t>current_timestamp</t>
  </si>
  <si>
    <t>Field</t>
  </si>
  <si>
    <t>DATE_PART()</t>
  </si>
  <si>
    <t>EXTRACT()</t>
  </si>
  <si>
    <t>Example result</t>
  </si>
  <si>
    <t>year</t>
  </si>
  <si>
    <t>'year'</t>
  </si>
  <si>
    <t>YEAR</t>
  </si>
  <si>
    <t>month</t>
  </si>
  <si>
    <t>'month'</t>
  </si>
  <si>
    <t>MONTH</t>
  </si>
  <si>
    <t>day</t>
  </si>
  <si>
    <t>'day'</t>
  </si>
  <si>
    <t>DAY</t>
  </si>
  <si>
    <t>hour</t>
  </si>
  <si>
    <t>'hour'</t>
  </si>
  <si>
    <t>HOUR</t>
  </si>
  <si>
    <t>minute</t>
  </si>
  <si>
    <t>'minute'</t>
  </si>
  <si>
    <t>MINUTE</t>
  </si>
  <si>
    <t>second</t>
  </si>
  <si>
    <t>'second'</t>
  </si>
  <si>
    <t>SECOND</t>
  </si>
  <si>
    <t>quarter</t>
  </si>
  <si>
    <t>'quarter'</t>
  </si>
  <si>
    <t>QUARTER</t>
  </si>
  <si>
    <t>week</t>
  </si>
  <si>
    <t>'week'</t>
  </si>
  <si>
    <t>WEEK</t>
  </si>
  <si>
    <t>dow</t>
  </si>
  <si>
    <t>'dow'</t>
  </si>
  <si>
    <t>DOW</t>
  </si>
  <si>
    <t>doy</t>
  </si>
  <si>
    <t>'doy'</t>
  </si>
  <si>
    <t>DOY</t>
  </si>
  <si>
    <t>isodow</t>
  </si>
  <si>
    <t>'isodow'</t>
  </si>
  <si>
    <t>ISODOW</t>
  </si>
  <si>
    <t>isoyear</t>
  </si>
  <si>
    <t>'isoyear'</t>
  </si>
  <si>
    <t>ISOYEAR</t>
  </si>
  <si>
    <t>epoch</t>
  </si>
  <si>
    <t>'epoch'</t>
  </si>
  <si>
    <t>EPOCH</t>
  </si>
  <si>
    <t>seconds</t>
  </si>
  <si>
    <t>decade</t>
  </si>
  <si>
    <t>'decade'</t>
  </si>
  <si>
    <t>DECADE</t>
  </si>
  <si>
    <t>century</t>
  </si>
  <si>
    <t>'century'</t>
  </si>
  <si>
    <t>CENTURY</t>
  </si>
  <si>
    <t>millennium</t>
  </si>
  <si>
    <t>'millennium'</t>
  </si>
  <si>
    <t>MILLENNIUM</t>
  </si>
  <si>
    <t>Extract</t>
  </si>
  <si>
    <t>Date_part</t>
  </si>
  <si>
    <t>Age</t>
  </si>
  <si>
    <t>cuurent_date - dob</t>
  </si>
  <si>
    <t>Interval</t>
  </si>
  <si>
    <t>to_char</t>
  </si>
  <si>
    <t>yyyy-mm-dd</t>
  </si>
  <si>
    <t>dd-mm-yyyy</t>
  </si>
  <si>
    <t>Format</t>
  </si>
  <si>
    <t>Meaning</t>
  </si>
  <si>
    <t>Example</t>
  </si>
  <si>
    <t>YYYY</t>
  </si>
  <si>
    <t>4-digit year</t>
  </si>
  <si>
    <t>YYY</t>
  </si>
  <si>
    <t>Last 3 digits</t>
  </si>
  <si>
    <t>YY</t>
  </si>
  <si>
    <t>Last 2 digits</t>
  </si>
  <si>
    <t>Y</t>
  </si>
  <si>
    <t>Last digit</t>
  </si>
  <si>
    <t>IYYY</t>
  </si>
  <si>
    <t>ISO year</t>
  </si>
  <si>
    <t>IY</t>
  </si>
  <si>
    <t>ISO year, 2 digits</t>
  </si>
  <si>
    <t>ISO year, 1 digit</t>
  </si>
  <si>
    <t>Full month, uppercase</t>
  </si>
  <si>
    <t>MAY</t>
  </si>
  <si>
    <t>Month</t>
  </si>
  <si>
    <t>Full month, title case</t>
  </si>
  <si>
    <t>May</t>
  </si>
  <si>
    <t>Full month, lowercase</t>
  </si>
  <si>
    <t>may</t>
  </si>
  <si>
    <t>MON</t>
  </si>
  <si>
    <t>3-letter month</t>
  </si>
  <si>
    <t>Mon</t>
  </si>
  <si>
    <t>mon</t>
  </si>
  <si>
    <t>MM</t>
  </si>
  <si>
    <t>Month number</t>
  </si>
  <si>
    <t>RM</t>
  </si>
  <si>
    <t>Roman numeral month</t>
  </si>
  <si>
    <t>V</t>
  </si>
  <si>
    <t>DD</t>
  </si>
  <si>
    <t>Day of month</t>
  </si>
  <si>
    <t>DDD</t>
  </si>
  <si>
    <t>Day of year</t>
  </si>
  <si>
    <t>Day of week, Sunday = 1</t>
  </si>
  <si>
    <t>Full weekday</t>
  </si>
  <si>
    <t>TUESDAY</t>
  </si>
  <si>
    <t>Day</t>
  </si>
  <si>
    <t>Title-case weekday</t>
  </si>
  <si>
    <t>Tuesday</t>
  </si>
  <si>
    <t>Lowercase weekday</t>
  </si>
  <si>
    <t>tuesday</t>
  </si>
  <si>
    <t>DY</t>
  </si>
  <si>
    <t>3-letter weekday</t>
  </si>
  <si>
    <t>TUE</t>
  </si>
  <si>
    <t>Dy</t>
  </si>
  <si>
    <t>Title-case</t>
  </si>
  <si>
    <t>Tue</t>
  </si>
  <si>
    <t>dy</t>
  </si>
  <si>
    <t>Lowercase</t>
  </si>
  <si>
    <t>tue</t>
  </si>
  <si>
    <t>ID</t>
  </si>
  <si>
    <t>ISO day of week</t>
  </si>
  <si>
    <t>IW</t>
  </si>
  <si>
    <t>ISO week</t>
  </si>
  <si>
    <t>HH</t>
  </si>
  <si>
    <t>Hour 01–12</t>
  </si>
  <si>
    <t>HH12</t>
  </si>
  <si>
    <t>HH24</t>
  </si>
  <si>
    <t>Hour 00–23</t>
  </si>
  <si>
    <t>MI</t>
  </si>
  <si>
    <t>Minutes</t>
  </si>
  <si>
    <t>SS</t>
  </si>
  <si>
    <t>Seconds</t>
  </si>
  <si>
    <t>MS</t>
  </si>
  <si>
    <t>Milliseconds</t>
  </si>
  <si>
    <t>US</t>
  </si>
  <si>
    <t>Microseconds</t>
  </si>
  <si>
    <t>AM</t>
  </si>
  <si>
    <t>AM/PM</t>
  </si>
  <si>
    <t>PM</t>
  </si>
  <si>
    <t>PM/AM</t>
  </si>
  <si>
    <t>A.M.</t>
  </si>
  <si>
    <t>A.M./P.M.</t>
  </si>
  <si>
    <t>P.M.</t>
  </si>
  <si>
    <t>P.M./A.M.</t>
  </si>
  <si>
    <t>WW</t>
  </si>
  <si>
    <t>Week of year, 1–53</t>
  </si>
  <si>
    <t>W</t>
  </si>
  <si>
    <t>Week of month</t>
  </si>
  <si>
    <t>Day of week</t>
  </si>
  <si>
    <r>
      <t xml:space="preserve">⚠️ Not a </t>
    </r>
    <r>
      <rPr>
        <sz val="10"/>
        <color theme="1"/>
        <rFont val="Arial Unicode MS"/>
        <family val="2"/>
      </rPr>
      <t>TO_CHAR</t>
    </r>
    <r>
      <rPr>
        <sz val="12"/>
        <color theme="1"/>
        <rFont val="Aptos Narrow"/>
        <family val="2"/>
        <scheme val="minor"/>
      </rPr>
      <t xml:space="preserve"> format. Use </t>
    </r>
    <r>
      <rPr>
        <sz val="10"/>
        <color theme="1"/>
        <rFont val="Arial Unicode MS"/>
        <family val="2"/>
      </rPr>
      <t>DDD</t>
    </r>
  </si>
  <si>
    <t>date_trunc</t>
  </si>
  <si>
    <t>Report Card</t>
  </si>
  <si>
    <t>Marks</t>
  </si>
  <si>
    <t>Grade</t>
  </si>
  <si>
    <t>case when</t>
  </si>
  <si>
    <t>Sunday</t>
  </si>
  <si>
    <t>Monday</t>
  </si>
  <si>
    <t>Wednesday</t>
  </si>
  <si>
    <t>Thursday</t>
  </si>
  <si>
    <t>Friday</t>
  </si>
  <si>
    <t>Saturday</t>
  </si>
  <si>
    <t>Invalid</t>
  </si>
  <si>
    <t>Equality</t>
  </si>
  <si>
    <t>Case</t>
  </si>
  <si>
    <t xml:space="preserve">When </t>
  </si>
  <si>
    <t>Price &gt;5000</t>
  </si>
  <si>
    <t>Regular</t>
  </si>
  <si>
    <t>Price&gt;10000</t>
  </si>
  <si>
    <t>Premium</t>
  </si>
  <si>
    <t>Price &gt;2000</t>
  </si>
  <si>
    <t>Budget</t>
  </si>
  <si>
    <t>Price&gt;500</t>
  </si>
  <si>
    <t>Low</t>
  </si>
  <si>
    <t>Case to create conditional columns</t>
  </si>
  <si>
    <t>We can use case to filter data using conditional Columns</t>
  </si>
  <si>
    <t xml:space="preserve">We can use case to do custom / simple sort </t>
  </si>
  <si>
    <t>order_status</t>
  </si>
  <si>
    <t>pending</t>
  </si>
  <si>
    <t>if delivered 1</t>
  </si>
  <si>
    <t>Colesce</t>
  </si>
  <si>
    <t>Converts</t>
  </si>
  <si>
    <t>Nullif</t>
  </si>
  <si>
    <t>Any Value</t>
  </si>
  <si>
    <t>Pn</t>
  </si>
  <si>
    <t>On</t>
  </si>
  <si>
    <t>Fax</t>
  </si>
  <si>
    <t>s</t>
  </si>
  <si>
    <t>no</t>
  </si>
  <si>
    <t>Salary</t>
  </si>
  <si>
    <t>Salary2</t>
  </si>
  <si>
    <t>Salary3</t>
  </si>
  <si>
    <t>Min(Salary)</t>
  </si>
  <si>
    <t>Max(Salary)</t>
  </si>
  <si>
    <t>Greatest(Salary,Salary2,Salary3)</t>
  </si>
  <si>
    <t>Sum</t>
  </si>
  <si>
    <t>Min</t>
  </si>
  <si>
    <t>Max</t>
  </si>
  <si>
    <t>Greatest</t>
  </si>
  <si>
    <t>Least</t>
  </si>
  <si>
    <t>Type Casting</t>
  </si>
  <si>
    <t>Implicit</t>
  </si>
  <si>
    <t>Explicit</t>
  </si>
  <si>
    <t>Automatically by the Postgres</t>
  </si>
  <si>
    <t>Text -&gt; Integer</t>
  </si>
  <si>
    <t>Cast</t>
  </si>
  <si>
    <t>::</t>
  </si>
  <si>
    <t>Table</t>
  </si>
  <si>
    <t>Pivot Table</t>
  </si>
  <si>
    <t>Year</t>
  </si>
  <si>
    <t>Sales_in_millions</t>
  </si>
  <si>
    <t>Row Labels</t>
  </si>
  <si>
    <t>Grand Total</t>
  </si>
  <si>
    <t>Sum of Sales_in_millions</t>
  </si>
  <si>
    <t>Aggregate functions</t>
  </si>
  <si>
    <t>Average</t>
  </si>
  <si>
    <t>Filter</t>
  </si>
  <si>
    <t>Rows</t>
  </si>
  <si>
    <t>Columns</t>
  </si>
  <si>
    <t>Values</t>
  </si>
  <si>
    <t>Aggregate Functions</t>
  </si>
  <si>
    <t>Field show row wise</t>
  </si>
  <si>
    <t>Field show Column wise</t>
  </si>
  <si>
    <t>Field to Filter</t>
  </si>
  <si>
    <t>Group By</t>
  </si>
  <si>
    <t>Where</t>
  </si>
  <si>
    <t>Select + Raw Column Name</t>
  </si>
  <si>
    <t>Select  + Aggregate Function</t>
  </si>
  <si>
    <t>Non Aggregate Column</t>
  </si>
  <si>
    <t>Aggregate Column</t>
  </si>
  <si>
    <t>Max of Filter</t>
  </si>
  <si>
    <t>non numeric</t>
  </si>
  <si>
    <t>sum</t>
  </si>
  <si>
    <t>max</t>
  </si>
  <si>
    <t>min</t>
  </si>
  <si>
    <t>average</t>
  </si>
  <si>
    <t>y</t>
  </si>
  <si>
    <t>n</t>
  </si>
  <si>
    <t>Outer Query</t>
  </si>
  <si>
    <t>Inner Query</t>
  </si>
  <si>
    <t>Sub Query</t>
  </si>
  <si>
    <t>Main Query</t>
  </si>
  <si>
    <t>cust_id</t>
  </si>
  <si>
    <t>store_id</t>
  </si>
  <si>
    <t>order_date</t>
  </si>
  <si>
    <t>gross_total</t>
  </si>
  <si>
    <t>discount_amount</t>
  </si>
  <si>
    <t>net_total</t>
  </si>
  <si>
    <t>payment_mode_id</t>
  </si>
  <si>
    <t>Out for Delivery</t>
  </si>
  <si>
    <t>Failed</t>
  </si>
  <si>
    <t>Delivered</t>
  </si>
  <si>
    <t>Processing</t>
  </si>
  <si>
    <t>Returned</t>
  </si>
  <si>
    <t>Count of order_date</t>
  </si>
  <si>
    <t>Count of order_status</t>
  </si>
  <si>
    <t>Sum of gross_total</t>
  </si>
  <si>
    <t>Group by</t>
  </si>
  <si>
    <t>Group bY</t>
  </si>
  <si>
    <t>Having</t>
  </si>
  <si>
    <t>From</t>
  </si>
  <si>
    <t>order by</t>
  </si>
  <si>
    <t>Table 1</t>
  </si>
  <si>
    <t>Table 2</t>
  </si>
  <si>
    <t>Join</t>
  </si>
  <si>
    <t>Union</t>
  </si>
  <si>
    <t>Whenever we are joining tables we need a common key</t>
  </si>
  <si>
    <t>Family_x</t>
  </si>
  <si>
    <t>Family_y</t>
  </si>
  <si>
    <t>Boy</t>
  </si>
  <si>
    <t>Girl</t>
  </si>
  <si>
    <t>kid</t>
  </si>
  <si>
    <t>PK -&gt; FK</t>
  </si>
  <si>
    <t>Non key column as common column also</t>
  </si>
  <si>
    <t>Cricket</t>
  </si>
  <si>
    <t>Team A</t>
  </si>
  <si>
    <t>Team B</t>
  </si>
  <si>
    <t>Whenever we are combining data vertically no of columns should be same</t>
  </si>
  <si>
    <t>Respective data type should be same</t>
  </si>
  <si>
    <t>boolean</t>
  </si>
  <si>
    <t>Types Of Joins</t>
  </si>
  <si>
    <t>Inner</t>
  </si>
  <si>
    <t xml:space="preserve">Full </t>
  </si>
  <si>
    <t>Cross</t>
  </si>
  <si>
    <t>Self</t>
  </si>
  <si>
    <t>Lets say we are planning a trip</t>
  </si>
  <si>
    <t>Ladhak</t>
  </si>
  <si>
    <t>Bangalore</t>
  </si>
  <si>
    <t>a</t>
  </si>
  <si>
    <t>Goa</t>
  </si>
  <si>
    <t>Lucknow</t>
  </si>
  <si>
    <t>Hyderabad</t>
  </si>
  <si>
    <t>Bike</t>
  </si>
  <si>
    <t>Car</t>
  </si>
  <si>
    <t>2.5 days</t>
  </si>
  <si>
    <t>26 hours</t>
  </si>
  <si>
    <t>30 hours</t>
  </si>
  <si>
    <t>Kota</t>
  </si>
  <si>
    <t>Delhi / Gurgoan</t>
  </si>
  <si>
    <t>Mysore</t>
  </si>
  <si>
    <t>Banglore</t>
  </si>
  <si>
    <t>Itarsi</t>
  </si>
  <si>
    <t>College</t>
  </si>
  <si>
    <t>BPO</t>
  </si>
  <si>
    <t>School Friends</t>
  </si>
  <si>
    <t>College Friends</t>
  </si>
  <si>
    <t>s1</t>
  </si>
  <si>
    <t>s2</t>
  </si>
  <si>
    <t>s3</t>
  </si>
  <si>
    <t>s4</t>
  </si>
  <si>
    <t>s5</t>
  </si>
  <si>
    <t>c1</t>
  </si>
  <si>
    <t>c2</t>
  </si>
  <si>
    <t>c3</t>
  </si>
  <si>
    <t>c4</t>
  </si>
  <si>
    <t>c5</t>
  </si>
  <si>
    <t>common</t>
  </si>
  <si>
    <t>Full</t>
  </si>
  <si>
    <t>inner</t>
  </si>
  <si>
    <t>Table_1</t>
  </si>
  <si>
    <t>Table_2</t>
  </si>
  <si>
    <t>table_1.id=table_2.id</t>
  </si>
  <si>
    <t>b</t>
  </si>
  <si>
    <t>c</t>
  </si>
  <si>
    <t>d</t>
  </si>
  <si>
    <t>e</t>
  </si>
  <si>
    <t>f</t>
  </si>
  <si>
    <t>g</t>
  </si>
  <si>
    <t>h</t>
  </si>
  <si>
    <t>p</t>
  </si>
  <si>
    <t>q</t>
  </si>
  <si>
    <t>r</t>
  </si>
  <si>
    <t>t</t>
  </si>
  <si>
    <t>u</t>
  </si>
  <si>
    <t>v</t>
  </si>
  <si>
    <t>w</t>
  </si>
  <si>
    <t>Inner Join</t>
  </si>
  <si>
    <t>Only Matching Rows</t>
  </si>
  <si>
    <t>Left Join</t>
  </si>
  <si>
    <t>Take all rows from left table</t>
  </si>
  <si>
    <t>If we have matching value in right table take it</t>
  </si>
  <si>
    <t>Otherwise give null for not matching value</t>
  </si>
  <si>
    <t>Right Join</t>
  </si>
  <si>
    <t>Take all rows from right table</t>
  </si>
  <si>
    <t>If we have matching value in left table take it</t>
  </si>
  <si>
    <t>Full Join</t>
  </si>
  <si>
    <t>join</t>
  </si>
  <si>
    <t>Left Outer Join</t>
  </si>
  <si>
    <t>Right Outer Join</t>
  </si>
  <si>
    <t>Full Outer Join</t>
  </si>
  <si>
    <t>Joint Family</t>
  </si>
  <si>
    <t>Hybrid</t>
  </si>
  <si>
    <t>Products</t>
  </si>
  <si>
    <t>id=id</t>
  </si>
  <si>
    <t>from</t>
  </si>
  <si>
    <t>inner join</t>
  </si>
  <si>
    <t>on</t>
  </si>
  <si>
    <t>as a</t>
  </si>
  <si>
    <t>as b</t>
  </si>
  <si>
    <t>b.name</t>
  </si>
  <si>
    <t>table1.name</t>
  </si>
  <si>
    <t>customers.customers.first_name</t>
  </si>
  <si>
    <t>customers.customers.last_name</t>
  </si>
  <si>
    <t>c.first_name</t>
  </si>
  <si>
    <t>c.last_name</t>
  </si>
  <si>
    <t>Tableau</t>
  </si>
  <si>
    <t>Power BI</t>
  </si>
  <si>
    <t>Spot Fire</t>
  </si>
  <si>
    <t>Quicklook</t>
  </si>
  <si>
    <t>AWS</t>
  </si>
  <si>
    <t>GCP</t>
  </si>
  <si>
    <t>Azure</t>
  </si>
  <si>
    <t>Databricks</t>
  </si>
  <si>
    <t>Spark</t>
  </si>
  <si>
    <t>Hadoop</t>
  </si>
  <si>
    <t>Snowflake</t>
  </si>
  <si>
    <t>Fabric</t>
  </si>
  <si>
    <t>MS Office</t>
  </si>
  <si>
    <t>MS Fabric</t>
  </si>
  <si>
    <t>Fact</t>
  </si>
  <si>
    <t>Dimension</t>
  </si>
  <si>
    <t>stores</t>
  </si>
  <si>
    <t>dept</t>
  </si>
  <si>
    <t>customers</t>
  </si>
  <si>
    <t>who placed a order</t>
  </si>
  <si>
    <t>Orders Plced by customer</t>
  </si>
  <si>
    <t>Customner Never placed the order</t>
  </si>
  <si>
    <t>Table2</t>
  </si>
  <si>
    <t>Table3</t>
  </si>
  <si>
    <t>Table4</t>
  </si>
  <si>
    <t>Table5</t>
  </si>
  <si>
    <t>Table6</t>
  </si>
  <si>
    <t>Table7</t>
  </si>
  <si>
    <t>Table8</t>
  </si>
  <si>
    <t>Table9</t>
  </si>
  <si>
    <t>Table10</t>
  </si>
  <si>
    <t>View1</t>
  </si>
  <si>
    <t>View2</t>
  </si>
  <si>
    <t>Normalization</t>
  </si>
  <si>
    <t>Denormalization</t>
  </si>
  <si>
    <t>Cross Join</t>
  </si>
  <si>
    <t>Self-Join</t>
  </si>
  <si>
    <t xml:space="preserve">Union </t>
  </si>
  <si>
    <t>Union All</t>
  </si>
  <si>
    <t>Gamers</t>
  </si>
  <si>
    <t>Games</t>
  </si>
  <si>
    <t>G1</t>
  </si>
  <si>
    <t>G2</t>
  </si>
  <si>
    <t>G3</t>
  </si>
  <si>
    <t>G4</t>
  </si>
  <si>
    <t>G5</t>
  </si>
  <si>
    <t>m</t>
  </si>
  <si>
    <t>m x n</t>
  </si>
  <si>
    <t>left</t>
  </si>
  <si>
    <t>right</t>
  </si>
  <si>
    <t>full</t>
  </si>
  <si>
    <t>Same</t>
  </si>
  <si>
    <t>product_id</t>
  </si>
  <si>
    <t>product_name</t>
  </si>
  <si>
    <t>category</t>
  </si>
  <si>
    <t>a a</t>
  </si>
  <si>
    <t>a b</t>
  </si>
  <si>
    <t>a c</t>
  </si>
  <si>
    <t>b a</t>
  </si>
  <si>
    <t>b b</t>
  </si>
  <si>
    <t>b c</t>
  </si>
  <si>
    <t>c a</t>
  </si>
  <si>
    <t>c b</t>
  </si>
  <si>
    <t>c c</t>
  </si>
  <si>
    <t>d d</t>
  </si>
  <si>
    <t>d e</t>
  </si>
  <si>
    <t>e d</t>
  </si>
  <si>
    <t>e e</t>
  </si>
  <si>
    <t>p1.category_id =p2.category_id and p1.product_id &lt; p2.product_id</t>
  </si>
  <si>
    <t>P1</t>
  </si>
  <si>
    <t>B1</t>
  </si>
  <si>
    <t>P2</t>
  </si>
  <si>
    <t>B2</t>
  </si>
  <si>
    <t>brand_id</t>
  </si>
  <si>
    <t>category_id</t>
  </si>
  <si>
    <t>P1 -&gt; P2</t>
  </si>
  <si>
    <t>B1 -&gt; B2</t>
  </si>
  <si>
    <t>Product</t>
  </si>
  <si>
    <t>category_name</t>
  </si>
  <si>
    <t>Brand</t>
  </si>
  <si>
    <t>Products 1</t>
  </si>
  <si>
    <t>Brand 1</t>
  </si>
  <si>
    <t>Products 2</t>
  </si>
  <si>
    <t>Brand 2</t>
  </si>
  <si>
    <t>Food Taste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</si>
</sst>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dd/mm/yyyy\ hh:mm:ss"/>
    <numFmt numFmtId="166" formatCode="dd/mm/yyyy;@"/>
    <numFmt numFmtId="167" formatCode="yyyy\-mm\-dd\ hh:mm:ss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5" fontId="0" fillId="0" borderId="0" xfId="0" applyNumberForma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9" xfId="0" applyFill="1" applyBorder="1"/>
    <xf numFmtId="0" fontId="0" fillId="2" borderId="10" xfId="0" applyFill="1" applyBorder="1"/>
    <xf numFmtId="0" fontId="0" fillId="3" borderId="10" xfId="0" applyFill="1" applyBorder="1"/>
    <xf numFmtId="0" fontId="0" fillId="3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4" borderId="0" xfId="0" applyFill="1"/>
    <xf numFmtId="165" fontId="0" fillId="0" borderId="0" xfId="0" applyNumberFormat="1"/>
    <xf numFmtId="16" fontId="0" fillId="0" borderId="0" xfId="0" quotePrefix="1" applyNumberFormat="1"/>
    <xf numFmtId="0" fontId="0" fillId="0" borderId="0" xfId="0" quotePrefix="1"/>
    <xf numFmtId="0" fontId="0" fillId="5" borderId="1" xfId="0" applyFill="1" applyBorder="1"/>
    <xf numFmtId="0" fontId="0" fillId="5" borderId="4" xfId="0" applyFill="1" applyBorder="1"/>
    <xf numFmtId="0" fontId="0" fillId="5" borderId="6" xfId="0" applyFill="1" applyBorder="1"/>
    <xf numFmtId="0" fontId="0" fillId="6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7" borderId="15" xfId="0" applyFill="1" applyBorder="1"/>
    <xf numFmtId="0" fontId="0" fillId="0" borderId="15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0" xfId="0" applyFill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0" borderId="16" xfId="0" applyBorder="1"/>
    <xf numFmtId="0" fontId="0" fillId="9" borderId="12" xfId="0" applyFill="1" applyBorder="1"/>
    <xf numFmtId="0" fontId="0" fillId="9" borderId="16" xfId="0" applyFill="1" applyBorder="1"/>
    <xf numFmtId="0" fontId="0" fillId="9" borderId="13" xfId="0" applyFill="1" applyBorder="1"/>
    <xf numFmtId="0" fontId="0" fillId="9" borderId="0" xfId="0" applyFill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0" xfId="0" applyFill="1"/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/>
    <xf numFmtId="0" fontId="0" fillId="10" borderId="8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1" borderId="3" xfId="0" applyFill="1" applyBorder="1"/>
    <xf numFmtId="0" fontId="0" fillId="11" borderId="6" xfId="0" applyFill="1" applyBorder="1"/>
    <xf numFmtId="0" fontId="0" fillId="11" borderId="7" xfId="0" applyFill="1" applyBorder="1"/>
    <xf numFmtId="0" fontId="0" fillId="11" borderId="8" xfId="0" applyFill="1" applyBorder="1"/>
    <xf numFmtId="0" fontId="0" fillId="11" borderId="4" xfId="0" applyFill="1" applyBorder="1"/>
    <xf numFmtId="0" fontId="0" fillId="11" borderId="0" xfId="0" applyFill="1"/>
    <xf numFmtId="0" fontId="0" fillId="11" borderId="5" xfId="0" applyFill="1" applyBorder="1"/>
    <xf numFmtId="0" fontId="0" fillId="12" borderId="1" xfId="0" applyFill="1" applyBorder="1"/>
    <xf numFmtId="0" fontId="0" fillId="12" borderId="2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0" xfId="0" applyFill="1"/>
    <xf numFmtId="0" fontId="0" fillId="12" borderId="5" xfId="0" applyFill="1" applyBorder="1"/>
    <xf numFmtId="0" fontId="0" fillId="12" borderId="9" xfId="0" applyFill="1" applyBorder="1"/>
    <xf numFmtId="0" fontId="0" fillId="12" borderId="10" xfId="0" applyFill="1" applyBorder="1"/>
    <xf numFmtId="0" fontId="0" fillId="12" borderId="11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8" xfId="0" applyFill="1" applyBorder="1"/>
    <xf numFmtId="0" fontId="7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3" borderId="0" xfId="0" applyFill="1"/>
  </cellXfs>
  <cellStyles count="1">
    <cellStyle name="Normal" xfId="0" builtinId="0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ustomXml" Target="../ink/ink5.xml"/><Relationship Id="rId2" Type="http://schemas.openxmlformats.org/officeDocument/2006/relationships/image" Target="../media/image5.png"/><Relationship Id="rId1" Type="http://schemas.openxmlformats.org/officeDocument/2006/relationships/customXml" Target="../ink/ink4.xml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customXml" Target="../ink/ink7.xml"/><Relationship Id="rId5" Type="http://schemas.openxmlformats.org/officeDocument/2006/relationships/image" Target="../media/image11.png"/><Relationship Id="rId4" Type="http://schemas.openxmlformats.org/officeDocument/2006/relationships/customXml" Target="../ink/ink6.xml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4.xml"/><Relationship Id="rId18" Type="http://schemas.openxmlformats.org/officeDocument/2006/relationships/image" Target="../media/image20.png"/><Relationship Id="rId26" Type="http://schemas.openxmlformats.org/officeDocument/2006/relationships/image" Target="../media/image24.png"/><Relationship Id="rId39" Type="http://schemas.openxmlformats.org/officeDocument/2006/relationships/customXml" Target="../ink/ink27.xml"/><Relationship Id="rId21" Type="http://schemas.openxmlformats.org/officeDocument/2006/relationships/customXml" Target="../ink/ink18.xml"/><Relationship Id="rId34" Type="http://schemas.openxmlformats.org/officeDocument/2006/relationships/image" Target="../media/image28.png"/><Relationship Id="rId42" Type="http://schemas.openxmlformats.org/officeDocument/2006/relationships/image" Target="../media/image32.png"/><Relationship Id="rId47" Type="http://schemas.openxmlformats.org/officeDocument/2006/relationships/customXml" Target="../ink/ink31.xml"/><Relationship Id="rId50" Type="http://schemas.openxmlformats.org/officeDocument/2006/relationships/image" Target="../media/image36.png"/><Relationship Id="rId55" Type="http://schemas.openxmlformats.org/officeDocument/2006/relationships/customXml" Target="../ink/ink35.xml"/><Relationship Id="rId7" Type="http://schemas.openxmlformats.org/officeDocument/2006/relationships/customXml" Target="../ink/ink11.xml"/><Relationship Id="rId2" Type="http://schemas.openxmlformats.org/officeDocument/2006/relationships/image" Target="../media/image12.png"/><Relationship Id="rId16" Type="http://schemas.openxmlformats.org/officeDocument/2006/relationships/image" Target="../media/image19.png"/><Relationship Id="rId29" Type="http://schemas.openxmlformats.org/officeDocument/2006/relationships/customXml" Target="../ink/ink22.xml"/><Relationship Id="rId11" Type="http://schemas.openxmlformats.org/officeDocument/2006/relationships/customXml" Target="../ink/ink13.xml"/><Relationship Id="rId24" Type="http://schemas.openxmlformats.org/officeDocument/2006/relationships/image" Target="../media/image23.png"/><Relationship Id="rId32" Type="http://schemas.openxmlformats.org/officeDocument/2006/relationships/image" Target="../media/image27.png"/><Relationship Id="rId37" Type="http://schemas.openxmlformats.org/officeDocument/2006/relationships/customXml" Target="../ink/ink26.xml"/><Relationship Id="rId40" Type="http://schemas.openxmlformats.org/officeDocument/2006/relationships/image" Target="../media/image31.png"/><Relationship Id="rId45" Type="http://schemas.openxmlformats.org/officeDocument/2006/relationships/customXml" Target="../ink/ink30.xml"/><Relationship Id="rId53" Type="http://schemas.openxmlformats.org/officeDocument/2006/relationships/customXml" Target="../ink/ink34.xml"/><Relationship Id="rId5" Type="http://schemas.openxmlformats.org/officeDocument/2006/relationships/customXml" Target="../ink/ink10.xml"/><Relationship Id="rId10" Type="http://schemas.openxmlformats.org/officeDocument/2006/relationships/image" Target="../media/image16.png"/><Relationship Id="rId19" Type="http://schemas.openxmlformats.org/officeDocument/2006/relationships/customXml" Target="../ink/ink17.xml"/><Relationship Id="rId31" Type="http://schemas.openxmlformats.org/officeDocument/2006/relationships/customXml" Target="../ink/ink23.xml"/><Relationship Id="rId44" Type="http://schemas.openxmlformats.org/officeDocument/2006/relationships/image" Target="../media/image33.png"/><Relationship Id="rId52" Type="http://schemas.openxmlformats.org/officeDocument/2006/relationships/image" Target="../media/image37.png"/><Relationship Id="rId4" Type="http://schemas.openxmlformats.org/officeDocument/2006/relationships/image" Target="../media/image13.png"/><Relationship Id="rId9" Type="http://schemas.openxmlformats.org/officeDocument/2006/relationships/customXml" Target="../ink/ink12.xml"/><Relationship Id="rId14" Type="http://schemas.openxmlformats.org/officeDocument/2006/relationships/image" Target="../media/image18.png"/><Relationship Id="rId22" Type="http://schemas.openxmlformats.org/officeDocument/2006/relationships/image" Target="../media/image22.png"/><Relationship Id="rId27" Type="http://schemas.openxmlformats.org/officeDocument/2006/relationships/customXml" Target="../ink/ink21.xml"/><Relationship Id="rId30" Type="http://schemas.openxmlformats.org/officeDocument/2006/relationships/image" Target="../media/image26.png"/><Relationship Id="rId35" Type="http://schemas.openxmlformats.org/officeDocument/2006/relationships/customXml" Target="../ink/ink25.xml"/><Relationship Id="rId43" Type="http://schemas.openxmlformats.org/officeDocument/2006/relationships/customXml" Target="../ink/ink29.xml"/><Relationship Id="rId48" Type="http://schemas.openxmlformats.org/officeDocument/2006/relationships/image" Target="../media/image35.png"/><Relationship Id="rId56" Type="http://schemas.openxmlformats.org/officeDocument/2006/relationships/image" Target="../media/image39.png"/><Relationship Id="rId8" Type="http://schemas.openxmlformats.org/officeDocument/2006/relationships/image" Target="../media/image15.png"/><Relationship Id="rId51" Type="http://schemas.openxmlformats.org/officeDocument/2006/relationships/customXml" Target="../ink/ink33.xml"/><Relationship Id="rId3" Type="http://schemas.openxmlformats.org/officeDocument/2006/relationships/customXml" Target="../ink/ink9.xml"/><Relationship Id="rId12" Type="http://schemas.openxmlformats.org/officeDocument/2006/relationships/image" Target="../media/image17.png"/><Relationship Id="rId17" Type="http://schemas.openxmlformats.org/officeDocument/2006/relationships/customXml" Target="../ink/ink16.xml"/><Relationship Id="rId25" Type="http://schemas.openxmlformats.org/officeDocument/2006/relationships/customXml" Target="../ink/ink20.xml"/><Relationship Id="rId33" Type="http://schemas.openxmlformats.org/officeDocument/2006/relationships/customXml" Target="../ink/ink24.xml"/><Relationship Id="rId38" Type="http://schemas.openxmlformats.org/officeDocument/2006/relationships/image" Target="../media/image30.png"/><Relationship Id="rId46" Type="http://schemas.openxmlformats.org/officeDocument/2006/relationships/image" Target="../media/image34.png"/><Relationship Id="rId20" Type="http://schemas.openxmlformats.org/officeDocument/2006/relationships/image" Target="../media/image21.png"/><Relationship Id="rId41" Type="http://schemas.openxmlformats.org/officeDocument/2006/relationships/customXml" Target="../ink/ink28.xml"/><Relationship Id="rId54" Type="http://schemas.openxmlformats.org/officeDocument/2006/relationships/image" Target="../media/image38.png"/><Relationship Id="rId1" Type="http://schemas.openxmlformats.org/officeDocument/2006/relationships/customXml" Target="../ink/ink8.xml"/><Relationship Id="rId6" Type="http://schemas.openxmlformats.org/officeDocument/2006/relationships/image" Target="../media/image14.png"/><Relationship Id="rId15" Type="http://schemas.openxmlformats.org/officeDocument/2006/relationships/customXml" Target="../ink/ink15.xml"/><Relationship Id="rId23" Type="http://schemas.openxmlformats.org/officeDocument/2006/relationships/customXml" Target="../ink/ink19.xml"/><Relationship Id="rId28" Type="http://schemas.openxmlformats.org/officeDocument/2006/relationships/image" Target="../media/image25.png"/><Relationship Id="rId36" Type="http://schemas.openxmlformats.org/officeDocument/2006/relationships/image" Target="../media/image29.png"/><Relationship Id="rId49" Type="http://schemas.openxmlformats.org/officeDocument/2006/relationships/customXml" Target="../ink/ink3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849060</xdr:colOff>
      <xdr:row>12</xdr:row>
      <xdr:rowOff>92400</xdr:rowOff>
    </xdr:from>
    <xdr:to>
      <xdr:col>5</xdr:col>
      <xdr:colOff>32120</xdr:colOff>
      <xdr:row>12</xdr:row>
      <xdr:rowOff>139920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3DB7E7C-B44D-B72A-A002-C0DB3F7E3230}"/>
                </a:ext>
              </a:extLst>
            </xdr14:cNvPr>
            <xdr14:cNvContentPartPr/>
          </xdr14:nvContentPartPr>
          <xdr14:nvPr macro=""/>
          <xdr14:xfrm>
            <a:off x="2792160" y="2530800"/>
            <a:ext cx="338760" cy="475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3DB7E7C-B44D-B72A-A002-C0DB3F7E323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87840" y="2526480"/>
              <a:ext cx="347400" cy="5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9320</xdr:colOff>
      <xdr:row>13</xdr:row>
      <xdr:rowOff>178640</xdr:rowOff>
    </xdr:from>
    <xdr:to>
      <xdr:col>7</xdr:col>
      <xdr:colOff>839720</xdr:colOff>
      <xdr:row>17</xdr:row>
      <xdr:rowOff>34720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82957E2-3C80-ECA4-A11A-8343EEB8756F}"/>
                </a:ext>
              </a:extLst>
            </xdr14:cNvPr>
            <xdr14:cNvContentPartPr/>
          </xdr14:nvContentPartPr>
          <xdr14:nvPr macro=""/>
          <xdr14:xfrm>
            <a:off x="2803320" y="2820240"/>
            <a:ext cx="3726000" cy="6688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82957E2-3C80-ECA4-A11A-8343EEB8756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799000" y="2815920"/>
              <a:ext cx="3734640" cy="67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2017520</xdr:colOff>
      <xdr:row>12</xdr:row>
      <xdr:rowOff>95640</xdr:rowOff>
    </xdr:from>
    <xdr:to>
      <xdr:col>8</xdr:col>
      <xdr:colOff>49660</xdr:colOff>
      <xdr:row>12</xdr:row>
      <xdr:rowOff>167640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278ACCD-E750-62EF-F9F6-64FC7ECA39C1}"/>
                </a:ext>
              </a:extLst>
            </xdr14:cNvPr>
            <xdr14:cNvContentPartPr/>
          </xdr14:nvContentPartPr>
          <xdr14:nvPr macro=""/>
          <xdr14:xfrm>
            <a:off x="5116320" y="2534040"/>
            <a:ext cx="1473840" cy="720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278ACCD-E750-62EF-F9F6-64FC7ECA39C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112000" y="2529720"/>
              <a:ext cx="1482480" cy="80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11</xdr:col>
      <xdr:colOff>342900</xdr:colOff>
      <xdr:row>32</xdr:row>
      <xdr:rowOff>163133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0000E6-E3C0-4421-00E1-256041CF8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0" y="3048000"/>
          <a:ext cx="7772400" cy="3617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817540</xdr:colOff>
      <xdr:row>89</xdr:row>
      <xdr:rowOff>198960</xdr:rowOff>
    </xdr:from>
    <xdr:to>
      <xdr:col>7</xdr:col>
      <xdr:colOff>900060</xdr:colOff>
      <xdr:row>92</xdr:row>
      <xdr:rowOff>213960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5B03C1A-FFD6-071B-378A-066240438C0B}"/>
                </a:ext>
              </a:extLst>
            </xdr14:cNvPr>
            <xdr14:cNvContentPartPr/>
          </xdr14:nvContentPartPr>
          <xdr14:nvPr macro=""/>
          <xdr14:xfrm>
            <a:off x="1643040" y="18410760"/>
            <a:ext cx="5238720" cy="6246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5B03C1A-FFD6-071B-378A-066240438C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36920" y="18404640"/>
              <a:ext cx="5250960" cy="63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217560</xdr:colOff>
      <xdr:row>127</xdr:row>
      <xdr:rowOff>4920</xdr:rowOff>
    </xdr:from>
    <xdr:to>
      <xdr:col>7</xdr:col>
      <xdr:colOff>344580</xdr:colOff>
      <xdr:row>138</xdr:row>
      <xdr:rowOff>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1D8E522B-FDC7-0202-1B7A-DE4AD772C830}"/>
                </a:ext>
              </a:extLst>
            </xdr14:cNvPr>
            <xdr14:cNvContentPartPr/>
          </xdr14:nvContentPartPr>
          <xdr14:nvPr macro=""/>
          <xdr14:xfrm>
            <a:off x="3722760" y="25989120"/>
            <a:ext cx="2603520" cy="22363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1D8E522B-FDC7-0202-1B7A-DE4AD772C83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718441" y="25984800"/>
              <a:ext cx="2612159" cy="2244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3073400</xdr:colOff>
      <xdr:row>78</xdr:row>
      <xdr:rowOff>139700</xdr:rowOff>
    </xdr:from>
    <xdr:to>
      <xdr:col>7</xdr:col>
      <xdr:colOff>431800</xdr:colOff>
      <xdr:row>81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683CD8-46C1-BAA1-5E57-0A65B0363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16078200"/>
          <a:ext cx="6769100" cy="5461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</xdr:colOff>
      <xdr:row>0</xdr:row>
      <xdr:rowOff>165100</xdr:rowOff>
    </xdr:from>
    <xdr:to>
      <xdr:col>12</xdr:col>
      <xdr:colOff>368300</xdr:colOff>
      <xdr:row>2</xdr:row>
      <xdr:rowOff>113551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3544BE-6740-A802-2E82-29DE9332A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" y="165100"/>
          <a:ext cx="7772400" cy="354851"/>
        </a:xfrm>
        <a:prstGeom prst="rect">
          <a:avLst/>
        </a:prstGeom>
      </xdr:spPr>
    </xdr:pic>
    <xdr:clientData/>
  </xdr:twoCellAnchor>
  <xdr:twoCellAnchor editAs="oneCell">
    <xdr:from>
      <xdr:col>0</xdr:col>
      <xdr:colOff>812800</xdr:colOff>
      <xdr:row>25</xdr:row>
      <xdr:rowOff>17042</xdr:rowOff>
    </xdr:from>
    <xdr:to>
      <xdr:col>5</xdr:col>
      <xdr:colOff>419100</xdr:colOff>
      <xdr:row>34</xdr:row>
      <xdr:rowOff>107949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AAD0CC-2E3A-0A37-54EB-B6C399CDE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2800" y="5097042"/>
          <a:ext cx="3733800" cy="1919707"/>
        </a:xfrm>
        <a:prstGeom prst="rect">
          <a:avLst/>
        </a:prstGeom>
      </xdr:spPr>
    </xdr:pic>
    <xdr:clientData/>
  </xdr:twoCellAnchor>
  <xdr:twoCellAnchor editAs="oneCell">
    <xdr:from>
      <xdr:col>5</xdr:col>
      <xdr:colOff>733022</xdr:colOff>
      <xdr:row>25</xdr:row>
      <xdr:rowOff>12700</xdr:rowOff>
    </xdr:from>
    <xdr:to>
      <xdr:col>10</xdr:col>
      <xdr:colOff>6349</xdr:colOff>
      <xdr:row>34</xdr:row>
      <xdr:rowOff>88900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0BBA0A-1445-663C-4C6A-4C8C97419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60522" y="5092700"/>
          <a:ext cx="3400827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523060</xdr:colOff>
      <xdr:row>38</xdr:row>
      <xdr:rowOff>93280</xdr:rowOff>
    </xdr:from>
    <xdr:to>
      <xdr:col>1</xdr:col>
      <xdr:colOff>746980</xdr:colOff>
      <xdr:row>41</xdr:row>
      <xdr:rowOff>170920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8D05A36-E62E-CD67-8249-47A177864F42}"/>
                </a:ext>
              </a:extLst>
            </xdr14:cNvPr>
            <xdr14:cNvContentPartPr/>
          </xdr14:nvContentPartPr>
          <xdr14:nvPr macro=""/>
          <xdr14:xfrm>
            <a:off x="1348560" y="7814880"/>
            <a:ext cx="223920" cy="6872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8D05A36-E62E-CD67-8249-47A177864F4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42440" y="7808760"/>
              <a:ext cx="236160" cy="6994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523060</xdr:colOff>
      <xdr:row>45</xdr:row>
      <xdr:rowOff>93280</xdr:rowOff>
    </xdr:from>
    <xdr:ext cx="223920" cy="6872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BD9A9BD7-542B-ED45-9D9E-3B58C3B3EFD2}"/>
                </a:ext>
              </a:extLst>
            </xdr14:cNvPr>
            <xdr14:cNvContentPartPr/>
          </xdr14:nvContentPartPr>
          <xdr14:nvPr macro=""/>
          <xdr14:xfrm>
            <a:off x="1348560" y="7814880"/>
            <a:ext cx="223920" cy="6872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BD9A9BD7-542B-ED45-9D9E-3B58C3B3EFD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42440" y="7808760"/>
              <a:ext cx="236160" cy="69948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36</xdr:row>
      <xdr:rowOff>203200</xdr:rowOff>
    </xdr:from>
    <xdr:to>
      <xdr:col>8</xdr:col>
      <xdr:colOff>1460500</xdr:colOff>
      <xdr:row>52</xdr:row>
      <xdr:rowOff>146050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41ECC055-4851-E0F9-82CA-1B126FBE8665}"/>
            </a:ext>
          </a:extLst>
        </xdr:cNvPr>
        <xdr:cNvSpPr/>
      </xdr:nvSpPr>
      <xdr:spPr>
        <a:xfrm>
          <a:off x="1651000" y="7518400"/>
          <a:ext cx="8686800" cy="3206750"/>
        </a:xfrm>
        <a:prstGeom prst="frame">
          <a:avLst>
            <a:gd name="adj1" fmla="val 339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120650</xdr:colOff>
      <xdr:row>37</xdr:row>
      <xdr:rowOff>107950</xdr:rowOff>
    </xdr:from>
    <xdr:to>
      <xdr:col>4</xdr:col>
      <xdr:colOff>666750</xdr:colOff>
      <xdr:row>45</xdr:row>
      <xdr:rowOff>31750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B4A08212-8D93-314F-53B7-EF404890B37D}"/>
            </a:ext>
          </a:extLst>
        </xdr:cNvPr>
        <xdr:cNvSpPr/>
      </xdr:nvSpPr>
      <xdr:spPr>
        <a:xfrm>
          <a:off x="1771650" y="7639050"/>
          <a:ext cx="2540000" cy="1549400"/>
        </a:xfrm>
        <a:prstGeom prst="frame">
          <a:avLst>
            <a:gd name="adj1" fmla="val 7582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120650</xdr:colOff>
      <xdr:row>45</xdr:row>
      <xdr:rowOff>6350</xdr:rowOff>
    </xdr:from>
    <xdr:to>
      <xdr:col>6</xdr:col>
      <xdr:colOff>673100</xdr:colOff>
      <xdr:row>52</xdr:row>
      <xdr:rowOff>25400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04403BB3-3AEF-8242-9B40-47E24F748643}"/>
            </a:ext>
          </a:extLst>
        </xdr:cNvPr>
        <xdr:cNvSpPr/>
      </xdr:nvSpPr>
      <xdr:spPr>
        <a:xfrm>
          <a:off x="1771650" y="9163050"/>
          <a:ext cx="4387850" cy="1441450"/>
        </a:xfrm>
        <a:prstGeom prst="frame">
          <a:avLst>
            <a:gd name="adj1" fmla="val 7582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342900</xdr:colOff>
      <xdr:row>37</xdr:row>
      <xdr:rowOff>114300</xdr:rowOff>
    </xdr:from>
    <xdr:to>
      <xdr:col>8</xdr:col>
      <xdr:colOff>1339850</xdr:colOff>
      <xdr:row>44</xdr:row>
      <xdr:rowOff>190500</xdr:rowOff>
    </xdr:to>
    <xdr:sp macro="" textlink="">
      <xdr:nvSpPr>
        <xdr:cNvPr id="5" name="Frame 4">
          <a:extLst>
            <a:ext uri="{FF2B5EF4-FFF2-40B4-BE49-F238E27FC236}">
              <a16:creationId xmlns:a16="http://schemas.microsoft.com/office/drawing/2014/main" id="{CB5B1692-B5BA-CF49-85EF-86FF3FB3C38F}"/>
            </a:ext>
          </a:extLst>
        </xdr:cNvPr>
        <xdr:cNvSpPr/>
      </xdr:nvSpPr>
      <xdr:spPr>
        <a:xfrm>
          <a:off x="5829300" y="7645400"/>
          <a:ext cx="4387850" cy="1498600"/>
        </a:xfrm>
        <a:prstGeom prst="frame">
          <a:avLst>
            <a:gd name="adj1" fmla="val 7582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673100</xdr:colOff>
      <xdr:row>37</xdr:row>
      <xdr:rowOff>107950</xdr:rowOff>
    </xdr:from>
    <xdr:to>
      <xdr:col>6</xdr:col>
      <xdr:colOff>336550</xdr:colOff>
      <xdr:row>45</xdr:row>
      <xdr:rowOff>0</xdr:rowOff>
    </xdr:to>
    <xdr:sp macro="" textlink="">
      <xdr:nvSpPr>
        <xdr:cNvPr id="6" name="Frame 5">
          <a:extLst>
            <a:ext uri="{FF2B5EF4-FFF2-40B4-BE49-F238E27FC236}">
              <a16:creationId xmlns:a16="http://schemas.microsoft.com/office/drawing/2014/main" id="{ED403D55-CD53-0F44-BDE9-C4F581C57E79}"/>
            </a:ext>
          </a:extLst>
        </xdr:cNvPr>
        <xdr:cNvSpPr/>
      </xdr:nvSpPr>
      <xdr:spPr>
        <a:xfrm>
          <a:off x="4318000" y="7639050"/>
          <a:ext cx="1504950" cy="1517650"/>
        </a:xfrm>
        <a:prstGeom prst="frame">
          <a:avLst>
            <a:gd name="adj1" fmla="val 7582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692150</xdr:colOff>
      <xdr:row>44</xdr:row>
      <xdr:rowOff>196850</xdr:rowOff>
    </xdr:from>
    <xdr:to>
      <xdr:col>7</xdr:col>
      <xdr:colOff>635000</xdr:colOff>
      <xdr:row>52</xdr:row>
      <xdr:rowOff>19050</xdr:rowOff>
    </xdr:to>
    <xdr:sp macro="" textlink="">
      <xdr:nvSpPr>
        <xdr:cNvPr id="7" name="Frame 6">
          <a:extLst>
            <a:ext uri="{FF2B5EF4-FFF2-40B4-BE49-F238E27FC236}">
              <a16:creationId xmlns:a16="http://schemas.microsoft.com/office/drawing/2014/main" id="{FDB61D30-50FF-4642-985B-83E65D21B07E}"/>
            </a:ext>
          </a:extLst>
        </xdr:cNvPr>
        <xdr:cNvSpPr/>
      </xdr:nvSpPr>
      <xdr:spPr>
        <a:xfrm>
          <a:off x="6178550" y="9150350"/>
          <a:ext cx="1504950" cy="1447800"/>
        </a:xfrm>
        <a:prstGeom prst="frame">
          <a:avLst>
            <a:gd name="adj1" fmla="val 7582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641350</xdr:colOff>
      <xdr:row>45</xdr:row>
      <xdr:rowOff>0</xdr:rowOff>
    </xdr:from>
    <xdr:to>
      <xdr:col>8</xdr:col>
      <xdr:colOff>1333500</xdr:colOff>
      <xdr:row>52</xdr:row>
      <xdr:rowOff>25400</xdr:rowOff>
    </xdr:to>
    <xdr:sp macro="" textlink="">
      <xdr:nvSpPr>
        <xdr:cNvPr id="8" name="Frame 7">
          <a:extLst>
            <a:ext uri="{FF2B5EF4-FFF2-40B4-BE49-F238E27FC236}">
              <a16:creationId xmlns:a16="http://schemas.microsoft.com/office/drawing/2014/main" id="{D6E99397-E3C8-CC44-8375-3C509116541E}"/>
            </a:ext>
          </a:extLst>
        </xdr:cNvPr>
        <xdr:cNvSpPr/>
      </xdr:nvSpPr>
      <xdr:spPr>
        <a:xfrm>
          <a:off x="7689850" y="9156700"/>
          <a:ext cx="2520950" cy="1447800"/>
        </a:xfrm>
        <a:prstGeom prst="frame">
          <a:avLst>
            <a:gd name="adj1" fmla="val 7582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50800</xdr:colOff>
      <xdr:row>113</xdr:row>
      <xdr:rowOff>57150</xdr:rowOff>
    </xdr:from>
    <xdr:to>
      <xdr:col>15</xdr:col>
      <xdr:colOff>685800</xdr:colOff>
      <xdr:row>124</xdr:row>
      <xdr:rowOff>44450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E51D061-F8B1-213E-A159-3AE2762C0D3D}"/>
            </a:ext>
          </a:extLst>
        </xdr:cNvPr>
        <xdr:cNvGrpSpPr/>
      </xdr:nvGrpSpPr>
      <xdr:grpSpPr>
        <a:xfrm>
          <a:off x="12052300" y="23583900"/>
          <a:ext cx="4000500" cy="2297113"/>
          <a:chOff x="7804150" y="23285450"/>
          <a:chExt cx="4000500" cy="2286000"/>
        </a:xfrm>
      </xdr:grpSpPr>
      <xdr:sp macro="" textlink="">
        <xdr:nvSpPr>
          <xdr:cNvPr id="2" name="Donut 1">
            <a:extLst>
              <a:ext uri="{FF2B5EF4-FFF2-40B4-BE49-F238E27FC236}">
                <a16:creationId xmlns:a16="http://schemas.microsoft.com/office/drawing/2014/main" id="{D2E66318-5411-BD21-D8EF-568F262B424E}"/>
              </a:ext>
            </a:extLst>
          </xdr:cNvPr>
          <xdr:cNvSpPr/>
        </xdr:nvSpPr>
        <xdr:spPr>
          <a:xfrm>
            <a:off x="7804150" y="23310850"/>
            <a:ext cx="2413000" cy="2260600"/>
          </a:xfrm>
          <a:prstGeom prst="donut">
            <a:avLst>
              <a:gd name="adj" fmla="val 188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" name="Donut 2">
            <a:extLst>
              <a:ext uri="{FF2B5EF4-FFF2-40B4-BE49-F238E27FC236}">
                <a16:creationId xmlns:a16="http://schemas.microsoft.com/office/drawing/2014/main" id="{9B645DEC-3299-834E-80E5-7F0DF5A2978A}"/>
              </a:ext>
            </a:extLst>
          </xdr:cNvPr>
          <xdr:cNvSpPr/>
        </xdr:nvSpPr>
        <xdr:spPr>
          <a:xfrm>
            <a:off x="9391650" y="23285450"/>
            <a:ext cx="2413000" cy="2260600"/>
          </a:xfrm>
          <a:prstGeom prst="donut">
            <a:avLst>
              <a:gd name="adj" fmla="val 188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</xdr:col>
      <xdr:colOff>158750</xdr:colOff>
      <xdr:row>129</xdr:row>
      <xdr:rowOff>190500</xdr:rowOff>
    </xdr:from>
    <xdr:to>
      <xdr:col>15</xdr:col>
      <xdr:colOff>793750</xdr:colOff>
      <xdr:row>140</xdr:row>
      <xdr:rowOff>177800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53BCEE0D-58C5-C54F-B83E-551D302C29D3}"/>
            </a:ext>
          </a:extLst>
        </xdr:cNvPr>
        <xdr:cNvGrpSpPr/>
      </xdr:nvGrpSpPr>
      <xdr:grpSpPr>
        <a:xfrm>
          <a:off x="12160250" y="27074813"/>
          <a:ext cx="4000500" cy="2297112"/>
          <a:chOff x="7804150" y="23285450"/>
          <a:chExt cx="4000500" cy="2286000"/>
        </a:xfrm>
      </xdr:grpSpPr>
      <xdr:sp macro="" textlink="">
        <xdr:nvSpPr>
          <xdr:cNvPr id="6" name="Donut 5">
            <a:extLst>
              <a:ext uri="{FF2B5EF4-FFF2-40B4-BE49-F238E27FC236}">
                <a16:creationId xmlns:a16="http://schemas.microsoft.com/office/drawing/2014/main" id="{09CC9265-B3FA-BDD0-1464-4108C16BD65F}"/>
              </a:ext>
            </a:extLst>
          </xdr:cNvPr>
          <xdr:cNvSpPr/>
        </xdr:nvSpPr>
        <xdr:spPr>
          <a:xfrm>
            <a:off x="7804150" y="23310850"/>
            <a:ext cx="2413000" cy="2260600"/>
          </a:xfrm>
          <a:prstGeom prst="donut">
            <a:avLst>
              <a:gd name="adj" fmla="val 188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" name="Donut 6">
            <a:extLst>
              <a:ext uri="{FF2B5EF4-FFF2-40B4-BE49-F238E27FC236}">
                <a16:creationId xmlns:a16="http://schemas.microsoft.com/office/drawing/2014/main" id="{8CFD73AA-747D-2FFD-555F-9BDB0C7C95B7}"/>
              </a:ext>
            </a:extLst>
          </xdr:cNvPr>
          <xdr:cNvSpPr/>
        </xdr:nvSpPr>
        <xdr:spPr>
          <a:xfrm>
            <a:off x="9391650" y="23285450"/>
            <a:ext cx="2413000" cy="2260600"/>
          </a:xfrm>
          <a:prstGeom prst="donut">
            <a:avLst>
              <a:gd name="adj" fmla="val 188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</xdr:col>
      <xdr:colOff>292100</xdr:colOff>
      <xdr:row>157</xdr:row>
      <xdr:rowOff>171450</xdr:rowOff>
    </xdr:from>
    <xdr:to>
      <xdr:col>16</xdr:col>
      <xdr:colOff>101600</xdr:colOff>
      <xdr:row>168</xdr:row>
      <xdr:rowOff>158750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A8C8B97-2055-684D-8741-0157083DB964}"/>
            </a:ext>
          </a:extLst>
        </xdr:cNvPr>
        <xdr:cNvGrpSpPr/>
      </xdr:nvGrpSpPr>
      <xdr:grpSpPr>
        <a:xfrm>
          <a:off x="12293600" y="32913638"/>
          <a:ext cx="4000500" cy="2297112"/>
          <a:chOff x="7804150" y="23285450"/>
          <a:chExt cx="4000500" cy="2286000"/>
        </a:xfrm>
      </xdr:grpSpPr>
      <xdr:sp macro="" textlink="">
        <xdr:nvSpPr>
          <xdr:cNvPr id="9" name="Donut 8">
            <a:extLst>
              <a:ext uri="{FF2B5EF4-FFF2-40B4-BE49-F238E27FC236}">
                <a16:creationId xmlns:a16="http://schemas.microsoft.com/office/drawing/2014/main" id="{7DB49DB2-8FFC-6E0D-A27F-C0764963C6D8}"/>
              </a:ext>
            </a:extLst>
          </xdr:cNvPr>
          <xdr:cNvSpPr/>
        </xdr:nvSpPr>
        <xdr:spPr>
          <a:xfrm>
            <a:off x="7804150" y="23310850"/>
            <a:ext cx="2413000" cy="2260600"/>
          </a:xfrm>
          <a:prstGeom prst="donut">
            <a:avLst>
              <a:gd name="adj" fmla="val 188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Donut 9">
            <a:extLst>
              <a:ext uri="{FF2B5EF4-FFF2-40B4-BE49-F238E27FC236}">
                <a16:creationId xmlns:a16="http://schemas.microsoft.com/office/drawing/2014/main" id="{524560F8-1293-177A-8BB5-CDFA6A6ECF5C}"/>
              </a:ext>
            </a:extLst>
          </xdr:cNvPr>
          <xdr:cNvSpPr/>
        </xdr:nvSpPr>
        <xdr:spPr>
          <a:xfrm>
            <a:off x="9391650" y="23285450"/>
            <a:ext cx="2413000" cy="2260600"/>
          </a:xfrm>
          <a:prstGeom prst="donut">
            <a:avLst>
              <a:gd name="adj" fmla="val 188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</xdr:col>
      <xdr:colOff>238125</xdr:colOff>
      <xdr:row>176</xdr:row>
      <xdr:rowOff>93662</xdr:rowOff>
    </xdr:from>
    <xdr:to>
      <xdr:col>16</xdr:col>
      <xdr:colOff>47625</xdr:colOff>
      <xdr:row>187</xdr:row>
      <xdr:rowOff>80962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D36175D-6229-144D-8152-D50F0AB69589}"/>
            </a:ext>
          </a:extLst>
        </xdr:cNvPr>
        <xdr:cNvGrpSpPr/>
      </xdr:nvGrpSpPr>
      <xdr:grpSpPr>
        <a:xfrm>
          <a:off x="12239625" y="36820475"/>
          <a:ext cx="4000500" cy="2297112"/>
          <a:chOff x="7804150" y="23285450"/>
          <a:chExt cx="4000500" cy="2286000"/>
        </a:xfrm>
      </xdr:grpSpPr>
      <xdr:sp macro="" textlink="">
        <xdr:nvSpPr>
          <xdr:cNvPr id="12" name="Donut 11">
            <a:extLst>
              <a:ext uri="{FF2B5EF4-FFF2-40B4-BE49-F238E27FC236}">
                <a16:creationId xmlns:a16="http://schemas.microsoft.com/office/drawing/2014/main" id="{391EEC09-4424-61A9-1587-D966A1C189A4}"/>
              </a:ext>
            </a:extLst>
          </xdr:cNvPr>
          <xdr:cNvSpPr/>
        </xdr:nvSpPr>
        <xdr:spPr>
          <a:xfrm>
            <a:off x="7804150" y="23310850"/>
            <a:ext cx="2413000" cy="2260600"/>
          </a:xfrm>
          <a:prstGeom prst="donu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3" name="Donut 12">
            <a:extLst>
              <a:ext uri="{FF2B5EF4-FFF2-40B4-BE49-F238E27FC236}">
                <a16:creationId xmlns:a16="http://schemas.microsoft.com/office/drawing/2014/main" id="{FCB0D43B-5DE9-4A14-EB91-F1289B4DDD67}"/>
              </a:ext>
            </a:extLst>
          </xdr:cNvPr>
          <xdr:cNvSpPr/>
        </xdr:nvSpPr>
        <xdr:spPr>
          <a:xfrm>
            <a:off x="9391650" y="23285450"/>
            <a:ext cx="2413000" cy="2260600"/>
          </a:xfrm>
          <a:prstGeom prst="donut">
            <a:avLst>
              <a:gd name="adj" fmla="val 5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13</xdr:col>
      <xdr:colOff>426190</xdr:colOff>
      <xdr:row>118</xdr:row>
      <xdr:rowOff>158202</xdr:rowOff>
    </xdr:from>
    <xdr:to>
      <xdr:col>13</xdr:col>
      <xdr:colOff>521950</xdr:colOff>
      <xdr:row>118</xdr:row>
      <xdr:rowOff>181962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8AD84C1-7F9C-233E-52E8-A626A7EB7E57}"/>
                </a:ext>
              </a:extLst>
            </xdr14:cNvPr>
            <xdr14:cNvContentPartPr/>
          </xdr14:nvContentPartPr>
          <xdr14:nvPr macro=""/>
          <xdr14:xfrm>
            <a:off x="11062440" y="24740640"/>
            <a:ext cx="95760" cy="237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8AD84C1-7F9C-233E-52E8-A626A7EB7E5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008440" y="24632640"/>
              <a:ext cx="203400" cy="23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51070</xdr:colOff>
      <xdr:row>115</xdr:row>
      <xdr:rowOff>98385</xdr:rowOff>
    </xdr:from>
    <xdr:to>
      <xdr:col>13</xdr:col>
      <xdr:colOff>405670</xdr:colOff>
      <xdr:row>121</xdr:row>
      <xdr:rowOff>153580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F9A6343A-6F1A-EDD3-2AB0-B1F0869D6813}"/>
                </a:ext>
              </a:extLst>
            </xdr14:cNvPr>
            <xdr14:cNvContentPartPr/>
          </xdr14:nvContentPartPr>
          <xdr14:nvPr macro=""/>
          <xdr14:xfrm>
            <a:off x="10687320" y="24053760"/>
            <a:ext cx="354600" cy="13093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F9A6343A-6F1A-EDD3-2AB0-B1F0869D681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633320" y="23945760"/>
              <a:ext cx="462240" cy="152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381550</xdr:colOff>
      <xdr:row>115</xdr:row>
      <xdr:rowOff>127185</xdr:rowOff>
    </xdr:from>
    <xdr:to>
      <xdr:col>13</xdr:col>
      <xdr:colOff>539230</xdr:colOff>
      <xdr:row>121</xdr:row>
      <xdr:rowOff>44140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194B433-0FFC-0D21-9999-85AD9AC563F7}"/>
                </a:ext>
              </a:extLst>
            </xdr14:cNvPr>
            <xdr14:cNvContentPartPr/>
          </xdr14:nvContentPartPr>
          <xdr14:nvPr macro=""/>
          <xdr14:xfrm>
            <a:off x="11017800" y="24082560"/>
            <a:ext cx="157680" cy="11710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194B433-0FFC-0D21-9999-85AD9AC563F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963800" y="23974560"/>
              <a:ext cx="265320" cy="138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3190</xdr:colOff>
      <xdr:row>115</xdr:row>
      <xdr:rowOff>193425</xdr:rowOff>
    </xdr:from>
    <xdr:to>
      <xdr:col>13</xdr:col>
      <xdr:colOff>457510</xdr:colOff>
      <xdr:row>121</xdr:row>
      <xdr:rowOff>155020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55A5380-3ED8-57BA-353B-A70FCE670CC0}"/>
                </a:ext>
              </a:extLst>
            </xdr14:cNvPr>
            <xdr14:cNvContentPartPr/>
          </xdr14:nvContentPartPr>
          <xdr14:nvPr macro=""/>
          <xdr14:xfrm>
            <a:off x="10639440" y="24148800"/>
            <a:ext cx="454320" cy="12157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D55A5380-3ED8-57BA-353B-A70FCE670CC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585800" y="24041160"/>
              <a:ext cx="561960" cy="143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447430</xdr:colOff>
      <xdr:row>115</xdr:row>
      <xdr:rowOff>186585</xdr:rowOff>
    </xdr:from>
    <xdr:to>
      <xdr:col>13</xdr:col>
      <xdr:colOff>616270</xdr:colOff>
      <xdr:row>120</xdr:row>
      <xdr:rowOff>206972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95636462-1AB4-4351-06E9-3E6A8051DCE7}"/>
                </a:ext>
              </a:extLst>
            </xdr14:cNvPr>
            <xdr14:cNvContentPartPr/>
          </xdr14:nvContentPartPr>
          <xdr14:nvPr macro=""/>
          <xdr14:xfrm>
            <a:off x="11083680" y="24141960"/>
            <a:ext cx="168840" cy="10602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95636462-1AB4-4351-06E9-3E6A8051DCE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030040" y="24033960"/>
              <a:ext cx="276480" cy="127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393610</xdr:colOff>
      <xdr:row>132</xdr:row>
      <xdr:rowOff>122207</xdr:rowOff>
    </xdr:from>
    <xdr:to>
      <xdr:col>13</xdr:col>
      <xdr:colOff>637150</xdr:colOff>
      <xdr:row>133</xdr:row>
      <xdr:rowOff>27055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72A9CC91-4EF2-82C7-FC66-13EB327B0584}"/>
                </a:ext>
              </a:extLst>
            </xdr14:cNvPr>
            <xdr14:cNvContentPartPr/>
          </xdr14:nvContentPartPr>
          <xdr14:nvPr macro=""/>
          <xdr14:xfrm>
            <a:off x="9315360" y="27641520"/>
            <a:ext cx="1958040" cy="1191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72A9CC91-4EF2-82C7-FC66-13EB327B058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261360" y="27533520"/>
              <a:ext cx="2065680" cy="33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302530</xdr:colOff>
      <xdr:row>133</xdr:row>
      <xdr:rowOff>137935</xdr:rowOff>
    </xdr:from>
    <xdr:to>
      <xdr:col>13</xdr:col>
      <xdr:colOff>674230</xdr:colOff>
      <xdr:row>134</xdr:row>
      <xdr:rowOff>39560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8A22CDB4-6284-C2AA-AA48-6BD333D2CDA0}"/>
                </a:ext>
              </a:extLst>
            </xdr14:cNvPr>
            <xdr14:cNvContentPartPr/>
          </xdr14:nvContentPartPr>
          <xdr14:nvPr macro=""/>
          <xdr14:xfrm>
            <a:off x="9224280" y="27871560"/>
            <a:ext cx="2086200" cy="1080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8A22CDB4-6284-C2AA-AA48-6BD333D2CDA0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170640" y="27763920"/>
              <a:ext cx="2193840" cy="32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312250</xdr:colOff>
      <xdr:row>134</xdr:row>
      <xdr:rowOff>75560</xdr:rowOff>
    </xdr:from>
    <xdr:to>
      <xdr:col>13</xdr:col>
      <xdr:colOff>734710</xdr:colOff>
      <xdr:row>134</xdr:row>
      <xdr:rowOff>202280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710A438B-8298-56C0-029D-5049DB14AF3C}"/>
                </a:ext>
              </a:extLst>
            </xdr14:cNvPr>
            <xdr14:cNvContentPartPr/>
          </xdr14:nvContentPartPr>
          <xdr14:nvPr macro=""/>
          <xdr14:xfrm>
            <a:off x="9234000" y="28015560"/>
            <a:ext cx="2136960" cy="126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10A438B-8298-56C0-029D-5049DB14AF3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9180360" y="27907560"/>
              <a:ext cx="2244600" cy="34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180130</xdr:colOff>
      <xdr:row>135</xdr:row>
      <xdr:rowOff>66465</xdr:rowOff>
    </xdr:from>
    <xdr:to>
      <xdr:col>13</xdr:col>
      <xdr:colOff>719950</xdr:colOff>
      <xdr:row>135</xdr:row>
      <xdr:rowOff>180585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472453D2-A2A8-11F7-2681-5F6E6C0AA940}"/>
                </a:ext>
              </a:extLst>
            </xdr14:cNvPr>
            <xdr14:cNvContentPartPr/>
          </xdr14:nvContentPartPr>
          <xdr14:nvPr macro=""/>
          <xdr14:xfrm>
            <a:off x="9101880" y="28212840"/>
            <a:ext cx="2254320" cy="1141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472453D2-A2A8-11F7-2681-5F6E6C0AA940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9047880" y="28105200"/>
              <a:ext cx="2361960" cy="32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523525</xdr:colOff>
      <xdr:row>136</xdr:row>
      <xdr:rowOff>47273</xdr:rowOff>
    </xdr:from>
    <xdr:to>
      <xdr:col>13</xdr:col>
      <xdr:colOff>712705</xdr:colOff>
      <xdr:row>136</xdr:row>
      <xdr:rowOff>78593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C51FDD8D-2624-18B3-5D7B-B1FD13767569}"/>
                </a:ext>
              </a:extLst>
            </xdr14:cNvPr>
            <xdr14:cNvContentPartPr/>
          </xdr14:nvContentPartPr>
          <xdr14:nvPr macro=""/>
          <xdr14:xfrm>
            <a:off x="10953400" y="28407961"/>
            <a:ext cx="1903680" cy="313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C51FDD8D-2624-18B3-5D7B-B1FD13767569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9248760" y="28300320"/>
              <a:ext cx="2011320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489010</xdr:colOff>
      <xdr:row>136</xdr:row>
      <xdr:rowOff>189832</xdr:rowOff>
    </xdr:from>
    <xdr:to>
      <xdr:col>13</xdr:col>
      <xdr:colOff>566230</xdr:colOff>
      <xdr:row>137</xdr:row>
      <xdr:rowOff>111257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2E22F81D-2972-2F6C-8D74-12D110253A66}"/>
                </a:ext>
              </a:extLst>
            </xdr14:cNvPr>
            <xdr14:cNvContentPartPr/>
          </xdr14:nvContentPartPr>
          <xdr14:nvPr macro=""/>
          <xdr14:xfrm>
            <a:off x="9410760" y="28550520"/>
            <a:ext cx="1791720" cy="1278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2E22F81D-2972-2F6C-8D74-12D110253A66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9356760" y="28442880"/>
              <a:ext cx="1899360" cy="34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520330</xdr:colOff>
      <xdr:row>137</xdr:row>
      <xdr:rowOff>177857</xdr:rowOff>
    </xdr:from>
    <xdr:to>
      <xdr:col>13</xdr:col>
      <xdr:colOff>597910</xdr:colOff>
      <xdr:row>138</xdr:row>
      <xdr:rowOff>59682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EA7DE10D-5576-6DA3-D8F7-37FECB956D60}"/>
                </a:ext>
              </a:extLst>
            </xdr14:cNvPr>
            <xdr14:cNvContentPartPr/>
          </xdr14:nvContentPartPr>
          <xdr14:nvPr macro=""/>
          <xdr14:xfrm>
            <a:off x="9442080" y="28744920"/>
            <a:ext cx="1792080" cy="8820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EA7DE10D-5576-6DA3-D8F7-37FECB956D60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9388440" y="28636920"/>
              <a:ext cx="1899720" cy="30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696370</xdr:colOff>
      <xdr:row>138</xdr:row>
      <xdr:rowOff>129162</xdr:rowOff>
    </xdr:from>
    <xdr:to>
      <xdr:col>13</xdr:col>
      <xdr:colOff>424750</xdr:colOff>
      <xdr:row>138</xdr:row>
      <xdr:rowOff>203322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79A01C7B-AB9A-1843-9531-6DA35B6E987C}"/>
                </a:ext>
              </a:extLst>
            </xdr14:cNvPr>
            <xdr14:cNvContentPartPr/>
          </xdr14:nvContentPartPr>
          <xdr14:nvPr macro=""/>
          <xdr14:xfrm>
            <a:off x="9618120" y="28902600"/>
            <a:ext cx="1442880" cy="741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79A01C7B-AB9A-1843-9531-6DA35B6E987C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9564120" y="28794600"/>
              <a:ext cx="1550520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121677</xdr:colOff>
      <xdr:row>139</xdr:row>
      <xdr:rowOff>91610</xdr:rowOff>
    </xdr:from>
    <xdr:to>
      <xdr:col>13</xdr:col>
      <xdr:colOff>238990</xdr:colOff>
      <xdr:row>139</xdr:row>
      <xdr:rowOff>121130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93AAB5A5-A2F7-6A03-FB3E-EB9724D41315}"/>
                </a:ext>
              </a:extLst>
            </xdr14:cNvPr>
            <xdr14:cNvContentPartPr/>
          </xdr14:nvContentPartPr>
          <xdr14:nvPr macro=""/>
          <xdr14:xfrm>
            <a:off x="10083240" y="29079360"/>
            <a:ext cx="792000" cy="295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93AAB5A5-A2F7-6A03-FB3E-EB9724D41315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0029600" y="28971360"/>
              <a:ext cx="899640" cy="24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699610</xdr:colOff>
      <xdr:row>131</xdr:row>
      <xdr:rowOff>195382</xdr:rowOff>
    </xdr:from>
    <xdr:to>
      <xdr:col>13</xdr:col>
      <xdr:colOff>115870</xdr:colOff>
      <xdr:row>132</xdr:row>
      <xdr:rowOff>31127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4241DEA5-B74B-B222-B80C-641C2AF656E6}"/>
                </a:ext>
              </a:extLst>
            </xdr14:cNvPr>
            <xdr14:cNvContentPartPr/>
          </xdr14:nvContentPartPr>
          <xdr14:nvPr macro=""/>
          <xdr14:xfrm>
            <a:off x="9621360" y="27508320"/>
            <a:ext cx="1130760" cy="42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4241DEA5-B74B-B222-B80C-641C2AF656E6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9567360" y="27400680"/>
              <a:ext cx="1238400" cy="25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58677</xdr:colOff>
      <xdr:row>130</xdr:row>
      <xdr:rowOff>183615</xdr:rowOff>
    </xdr:from>
    <xdr:to>
      <xdr:col>13</xdr:col>
      <xdr:colOff>212350</xdr:colOff>
      <xdr:row>131</xdr:row>
      <xdr:rowOff>121582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BF749A61-D558-2F3F-F6A1-92C93A0EF774}"/>
                </a:ext>
              </a:extLst>
            </xdr14:cNvPr>
            <xdr14:cNvContentPartPr/>
          </xdr14:nvContentPartPr>
          <xdr14:nvPr macro=""/>
          <xdr14:xfrm>
            <a:off x="10020240" y="27282240"/>
            <a:ext cx="828360" cy="1522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BF749A61-D558-2F3F-F6A1-92C93A0EF774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9966600" y="27174240"/>
              <a:ext cx="936000" cy="36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331870</xdr:colOff>
      <xdr:row>161</xdr:row>
      <xdr:rowOff>206437</xdr:rowOff>
    </xdr:from>
    <xdr:to>
      <xdr:col>15</xdr:col>
      <xdr:colOff>734670</xdr:colOff>
      <xdr:row>162</xdr:row>
      <xdr:rowOff>68445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A874788C-B747-B7C8-B426-636249DE83A2}"/>
                </a:ext>
              </a:extLst>
            </xdr14:cNvPr>
            <xdr14:cNvContentPartPr/>
          </xdr14:nvContentPartPr>
          <xdr14:nvPr macro=""/>
          <xdr14:xfrm>
            <a:off x="10968120" y="32139000"/>
            <a:ext cx="2053800" cy="763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A874788C-B747-B7C8-B426-636249DE83A2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0914480" y="32031000"/>
              <a:ext cx="2161440" cy="2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467950</xdr:colOff>
      <xdr:row>160</xdr:row>
      <xdr:rowOff>159012</xdr:rowOff>
    </xdr:from>
    <xdr:to>
      <xdr:col>16</xdr:col>
      <xdr:colOff>121210</xdr:colOff>
      <xdr:row>161</xdr:row>
      <xdr:rowOff>32917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B67568A2-EE8F-A6FE-E2F1-DD0199FC03F7}"/>
                </a:ext>
              </a:extLst>
            </xdr14:cNvPr>
            <xdr14:cNvContentPartPr/>
          </xdr14:nvContentPartPr>
          <xdr14:nvPr macro=""/>
          <xdr14:xfrm>
            <a:off x="11104200" y="31885200"/>
            <a:ext cx="2129760" cy="8028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B67568A2-EE8F-A6FE-E2F1-DD0199FC03F7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1050200" y="31777560"/>
              <a:ext cx="2237400" cy="29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564790</xdr:colOff>
      <xdr:row>159</xdr:row>
      <xdr:rowOff>177845</xdr:rowOff>
    </xdr:from>
    <xdr:to>
      <xdr:col>15</xdr:col>
      <xdr:colOff>754110</xdr:colOff>
      <xdr:row>160</xdr:row>
      <xdr:rowOff>16092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29756A87-A2E3-766B-7808-F4F8C73FEF56}"/>
                </a:ext>
              </a:extLst>
            </xdr14:cNvPr>
            <xdr14:cNvContentPartPr/>
          </xdr14:nvContentPartPr>
          <xdr14:nvPr macro=""/>
          <xdr14:xfrm>
            <a:off x="11201040" y="31689720"/>
            <a:ext cx="1840320" cy="525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29756A87-A2E3-766B-7808-F4F8C73FEF5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1147400" y="31581720"/>
              <a:ext cx="1947960" cy="26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224570</xdr:colOff>
      <xdr:row>158</xdr:row>
      <xdr:rowOff>160660</xdr:rowOff>
    </xdr:from>
    <xdr:to>
      <xdr:col>15</xdr:col>
      <xdr:colOff>230310</xdr:colOff>
      <xdr:row>159</xdr:row>
      <xdr:rowOff>23045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01716CE8-9292-93C5-A731-4A2E54095C90}"/>
                </a:ext>
              </a:extLst>
            </xdr14:cNvPr>
            <xdr14:cNvContentPartPr/>
          </xdr14:nvContentPartPr>
          <xdr14:nvPr macro=""/>
          <xdr14:xfrm>
            <a:off x="11686320" y="31466160"/>
            <a:ext cx="831240" cy="687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01716CE8-9292-93C5-A731-4A2E54095C90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1632680" y="31358160"/>
              <a:ext cx="93888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370030</xdr:colOff>
      <xdr:row>163</xdr:row>
      <xdr:rowOff>89590</xdr:rowOff>
    </xdr:from>
    <xdr:to>
      <xdr:col>15</xdr:col>
      <xdr:colOff>555750</xdr:colOff>
      <xdr:row>163</xdr:row>
      <xdr:rowOff>202990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FD56402-AC23-AAD9-A54E-9250FC11722B}"/>
                </a:ext>
              </a:extLst>
            </xdr14:cNvPr>
            <xdr14:cNvContentPartPr/>
          </xdr14:nvContentPartPr>
          <xdr14:nvPr macro=""/>
          <xdr14:xfrm>
            <a:off x="11006280" y="32442840"/>
            <a:ext cx="1836720" cy="11340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FD56402-AC23-AAD9-A54E-9250FC11722B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0952280" y="32334840"/>
              <a:ext cx="1944360" cy="32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435890</xdr:colOff>
      <xdr:row>162</xdr:row>
      <xdr:rowOff>158085</xdr:rowOff>
    </xdr:from>
    <xdr:to>
      <xdr:col>15</xdr:col>
      <xdr:colOff>699750</xdr:colOff>
      <xdr:row>163</xdr:row>
      <xdr:rowOff>25150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962451DC-6AFE-F9FF-25A8-EB726ABC6029}"/>
                </a:ext>
              </a:extLst>
            </xdr14:cNvPr>
            <xdr14:cNvContentPartPr/>
          </xdr14:nvContentPartPr>
          <xdr14:nvPr macro=""/>
          <xdr14:xfrm>
            <a:off x="11897640" y="32304960"/>
            <a:ext cx="1089360" cy="7344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962451DC-6AFE-F9FF-25A8-EB726ABC6029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1843640" y="32197320"/>
              <a:ext cx="1197000" cy="28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463630</xdr:colOff>
      <xdr:row>164</xdr:row>
      <xdr:rowOff>135917</xdr:rowOff>
    </xdr:from>
    <xdr:to>
      <xdr:col>15</xdr:col>
      <xdr:colOff>517590</xdr:colOff>
      <xdr:row>164</xdr:row>
      <xdr:rowOff>176597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3D838B31-9451-364F-44D3-7D4EB5DC1398}"/>
                </a:ext>
              </a:extLst>
            </xdr14:cNvPr>
            <xdr14:cNvContentPartPr/>
          </xdr14:nvContentPartPr>
          <xdr14:nvPr macro=""/>
          <xdr14:xfrm>
            <a:off x="11099880" y="32703480"/>
            <a:ext cx="1704960" cy="406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3D838B31-9451-364F-44D3-7D4EB5DC1398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1046240" y="32595480"/>
              <a:ext cx="181260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773950</xdr:colOff>
      <xdr:row>165</xdr:row>
      <xdr:rowOff>139422</xdr:rowOff>
    </xdr:from>
    <xdr:to>
      <xdr:col>15</xdr:col>
      <xdr:colOff>469710</xdr:colOff>
      <xdr:row>166</xdr:row>
      <xdr:rowOff>63367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D62845A7-F528-20DC-7F21-BFC1A4F13536}"/>
                </a:ext>
              </a:extLst>
            </xdr14:cNvPr>
            <xdr14:cNvContentPartPr/>
          </xdr14:nvContentPartPr>
          <xdr14:nvPr macro=""/>
          <xdr14:xfrm>
            <a:off x="11410200" y="32913360"/>
            <a:ext cx="1346760" cy="13032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D62845A7-F528-20DC-7F21-BFC1A4F13536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1356560" y="32805720"/>
              <a:ext cx="1454400" cy="34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55370</xdr:colOff>
      <xdr:row>166</xdr:row>
      <xdr:rowOff>90367</xdr:rowOff>
    </xdr:from>
    <xdr:to>
      <xdr:col>15</xdr:col>
      <xdr:colOff>199710</xdr:colOff>
      <xdr:row>167</xdr:row>
      <xdr:rowOff>3495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730E7C21-F720-CC9B-A7D4-56AAE07AE762}"/>
                </a:ext>
              </a:extLst>
            </xdr14:cNvPr>
            <xdr14:cNvContentPartPr/>
          </xdr14:nvContentPartPr>
          <xdr14:nvPr macro=""/>
          <xdr14:xfrm>
            <a:off x="11517120" y="33070680"/>
            <a:ext cx="969840" cy="1274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730E7C21-F720-CC9B-A7D4-56AAE07AE762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1463480" y="32963040"/>
              <a:ext cx="1077480" cy="34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299090</xdr:colOff>
      <xdr:row>166</xdr:row>
      <xdr:rowOff>185767</xdr:rowOff>
    </xdr:from>
    <xdr:to>
      <xdr:col>15</xdr:col>
      <xdr:colOff>274950</xdr:colOff>
      <xdr:row>167</xdr:row>
      <xdr:rowOff>107535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CED2351C-C3BF-BECF-98D6-C0DA02381BE9}"/>
                </a:ext>
              </a:extLst>
            </xdr14:cNvPr>
            <xdr14:cNvContentPartPr/>
          </xdr14:nvContentPartPr>
          <xdr14:nvPr macro=""/>
          <xdr14:xfrm>
            <a:off x="11760840" y="33166080"/>
            <a:ext cx="801360" cy="13608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CED2351C-C3BF-BECF-98D6-C0DA02381BE9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1707200" y="33058080"/>
              <a:ext cx="909000" cy="35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226560</xdr:colOff>
      <xdr:row>220</xdr:row>
      <xdr:rowOff>152080</xdr:rowOff>
    </xdr:from>
    <xdr:to>
      <xdr:col>4</xdr:col>
      <xdr:colOff>167560</xdr:colOff>
      <xdr:row>224</xdr:row>
      <xdr:rowOff>165840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02B9BBDC-C554-4CC3-1D16-A49F8CB3090A}"/>
                </a:ext>
              </a:extLst>
            </xdr14:cNvPr>
            <xdr14:cNvContentPartPr/>
          </xdr14:nvContentPartPr>
          <xdr14:nvPr macro=""/>
          <xdr14:xfrm>
            <a:off x="2360160" y="44068680"/>
            <a:ext cx="2176200" cy="8265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02B9BBDC-C554-4CC3-1D16-A49F8CB3090A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2354040" y="44062560"/>
              <a:ext cx="2188440" cy="8388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192087</xdr:colOff>
      <xdr:row>142</xdr:row>
      <xdr:rowOff>25400</xdr:rowOff>
    </xdr:from>
    <xdr:to>
      <xdr:col>16</xdr:col>
      <xdr:colOff>1587</xdr:colOff>
      <xdr:row>153</xdr:row>
      <xdr:rowOff>28575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117D0D35-BEA3-5249-90F5-39E313C48172}"/>
            </a:ext>
          </a:extLst>
        </xdr:cNvPr>
        <xdr:cNvGrpSpPr/>
      </xdr:nvGrpSpPr>
      <xdr:grpSpPr>
        <a:xfrm>
          <a:off x="12193587" y="29640213"/>
          <a:ext cx="4000500" cy="2297112"/>
          <a:chOff x="7804150" y="23285450"/>
          <a:chExt cx="4000500" cy="2286000"/>
        </a:xfrm>
      </xdr:grpSpPr>
      <xdr:sp macro="" textlink="">
        <xdr:nvSpPr>
          <xdr:cNvPr id="45" name="Donut 44">
            <a:extLst>
              <a:ext uri="{FF2B5EF4-FFF2-40B4-BE49-F238E27FC236}">
                <a16:creationId xmlns:a16="http://schemas.microsoft.com/office/drawing/2014/main" id="{0413C040-A2E2-BD9C-87F2-7DEAE9928FDC}"/>
              </a:ext>
            </a:extLst>
          </xdr:cNvPr>
          <xdr:cNvSpPr/>
        </xdr:nvSpPr>
        <xdr:spPr>
          <a:xfrm>
            <a:off x="7804150" y="23310850"/>
            <a:ext cx="2413000" cy="2260600"/>
          </a:xfrm>
          <a:prstGeom prst="donut">
            <a:avLst>
              <a:gd name="adj" fmla="val 188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6" name="Donut 45">
            <a:extLst>
              <a:ext uri="{FF2B5EF4-FFF2-40B4-BE49-F238E27FC236}">
                <a16:creationId xmlns:a16="http://schemas.microsoft.com/office/drawing/2014/main" id="{0B4DC7FB-BA49-AAB1-A4C5-E8BFBF3966BA}"/>
              </a:ext>
            </a:extLst>
          </xdr:cNvPr>
          <xdr:cNvSpPr/>
        </xdr:nvSpPr>
        <xdr:spPr>
          <a:xfrm>
            <a:off x="9391650" y="23285450"/>
            <a:ext cx="2413000" cy="2260600"/>
          </a:xfrm>
          <a:prstGeom prst="donut">
            <a:avLst>
              <a:gd name="adj" fmla="val 188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10</xdr:col>
      <xdr:colOff>285525</xdr:colOff>
      <xdr:row>142</xdr:row>
      <xdr:rowOff>184187</xdr:rowOff>
    </xdr:from>
    <xdr:to>
      <xdr:col>13</xdr:col>
      <xdr:colOff>306945</xdr:colOff>
      <xdr:row>152</xdr:row>
      <xdr:rowOff>39905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6B5052ED-D0A2-921E-26E5-1A4B25107ABD}"/>
                </a:ext>
              </a:extLst>
            </xdr14:cNvPr>
            <xdr14:cNvContentPartPr/>
          </xdr14:nvContentPartPr>
          <xdr14:nvPr macro=""/>
          <xdr14:xfrm>
            <a:off x="10715400" y="29799000"/>
            <a:ext cx="1735920" cy="194328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6B5052ED-D0A2-921E-26E5-1A4B25107ABD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10661400" y="29691360"/>
              <a:ext cx="1843560" cy="2158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101</xdr:row>
      <xdr:rowOff>0</xdr:rowOff>
    </xdr:from>
    <xdr:to>
      <xdr:col>11</xdr:col>
      <xdr:colOff>241300</xdr:colOff>
      <xdr:row>108</xdr:row>
      <xdr:rowOff>26359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9D374-03FF-192C-034A-65EAC3520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700" y="20523200"/>
          <a:ext cx="7772400" cy="1448759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124</xdr:row>
      <xdr:rowOff>31750</xdr:rowOff>
    </xdr:from>
    <xdr:to>
      <xdr:col>14</xdr:col>
      <xdr:colOff>127000</xdr:colOff>
      <xdr:row>130</xdr:row>
      <xdr:rowOff>77235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48F6CC-4AB3-2FEE-9611-3DCAADAB0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1650" y="25228550"/>
          <a:ext cx="5708650" cy="1264685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1T16:10:14.76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0 132 24575,'7'-3'0,"41"0"0,-6-10 0,33 3 0,-14-4 0,-4 3 0,0 5 0,-19-4 0,-12 7 0,-16-1 0,2 0 0,-4 1 0,5-4 0,-6 5 0,-1 0 0,-2 0 0,10 1 0,1-1 0,10 2 0,20-4 0,-18 3 0,15-6 0,-25 7 0,6-2 0,10-1 0,-7 3 0,7-2 0,-23 0 0,5 1 0,-3-1 0,0 4 0,1 0 0,-6 1 0,3-3 0,2-1 0,7-1 0,-4 2 0,6-2 0,-11-1 0,-1-1 0,-5 3 0,-4 0 0,0 2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1T16:10:16.76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1 342 24575,'5'13'0,"7"12"0,2-4 0,7 16 0,3-2 0,7 9 0,9 12 0,-4-10 0,2-6 0,3-1 0,23 12 0,-2-2 0,3 0 0,-18-16 0,2-1 0,18 13 0,7 0 0,-16-18 0,4-1 0,3-1 0,9 4 0,4 0 0,3 0 0,-11-5 0,3 1 0,1-1 0,0-1-532,1-2 1,1-2 0,-1-1 0,-1 1 531,10 4 0,-1-1 0,1-1 0,7-2 0,2-1 0,11 2 0,-17-4 0,10 3 0,5 0 0,2 1 0,-2-2 0,-7-1-652,-6-1 0,-5-3 1,-2 1-1,3-1 1,7 2 651,-1 0 0,5 2 0,5 1 0,1 0 0,0-1 0,-2-1 0,-6-2 0,-1-2 0,-2-2 0,-2-1 0,-2 0 0,-2-2 0,-4 1 0,15 1 0,-6-1 0,-1-1 0,5-1-242,-1-1 0,6 0 1,0-2-1,-3-1 1,-10-3 241,4-4 0,-8-3 0,1-1 0,7 0 0,2-1 0,-4-2 0,-14-2 0,-2-1 0,1-2-184,12-5 1,2-2 0,-5 1 183,10-2 0,-4-1 772,5-7 1,-6 3-773,-37 15 0,-1 5 1606,16 3 0,5 2-1606,9-5 0,7-2 0,-8 1 0,6-1 0,2-3-685,9-6 1,2-3 0,-3 0 684,-18 4 0,-2-1 0,1-3-276,18-10 1,3-4-1,-13 3 276,-25 9 0,-2-3-109,6-5 1,4-6-1,-3 1 109,4-4 0,-3 1 0,8-6 0,3-2 0,-11 12 0,3-2 0,-2 2 0,12-8 0,0 2 0,6-3 0,4 0 0,-23 15 0,3 0 0,-1 1 0,-4 3 0,0 0 0,2 1 0,8-3 0,2 0 0,-5 2 0,7-2 0,-7 2 0,-17 5 0,-7 4 0,-7 5 0,-9 0 3366,0 3-3366,-3 2 1785,-9 1-1785,0 0 439,-8 1-439,-4 5 0,-3-2 0,4 3 0,12-8 0,-4-1 0,8-3 0,-10 0 0,-7 6 0,3-2 0,4-3 0,-3 4 0,8-21 0,-14 20 0,3-12 0,-6 19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1T16:10:17.71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4094 200 24575,'-5'-5'0,"-4"1"0,-19-9 0,-30-6 0,-33-4 0,32 11 0,-4 3 0,-9 1 0,2 2 0,-23 2 0,37 2 0,4 1 0,1 1 0,-37-8 0,-21-3 0,21 6 0,-6 1 0,-8-1-646,14 1 1,-8-1 0,-3 1 0,0-1 0,3 2 645,9 0 0,3 1 0,0 0 0,-2 0 0,-3 1 0,-1 0 0,-4 1 0,-2 0 0,0 1 0,2-1 0,5 0 0,2 0 0,3 0 0,3 0 0,-1 0 0,0 0-360,-5 0 1,-2-1 0,0 0 0,4 0 0,4 0 359,-20 0 0,7 0 0,9 0 0,0-1 0,16-1 0,16-2 0,16 2 0,15 1 2889,-6-3-2889,15 4 2133,9-1-2133,17 6 0,16-3 0,1 3 0,-6-4 0,-13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15:57:00.124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138 1735 24575,'-2'-6'0,"-8"-39"0,3-4 0,-7-34-8503,1-5 8503,2 10 1719,-1-18-1719,3 36 0,3 3 0,-1 26 0,6 13 0,-6-14 6784,1-3-6784,-3-18 0,4 13 0,-1-11 0,3 32 0,-2-21 0,3 28 0,0-30 0,7 24 0,-4-47 0,4 17 0,-3-5 0,4-2 0,-1 31 0,0-8 0,4 16 0,-3 3 0,4 5 0,-2 2 0,50 2 0,-16 0 0,27-3 0,20-3 0,-19 2 0,9-1 0,3 0 0,-1 0-968,-2 0 1,1-1 0,0 0-1,4 0 968,-7 2 0,2 0 0,1 0 0,3-1 0,1 0 0,0-1 0,3-1 0,2 0 0,0 0 0,-2 0 0,-4 2-1101,-1 1 1,-5 2 0,-1-1-1,3 0 1,7-1 1100,-1-1 0,7-2 0,3-1 0,3 0 0,-2 1 0,-3 0 0,-5 2 0,8 1 0,-5 1 0,-3 1 0,0-1 0,0 0-202,-1-3 0,1 0 1,-1-2-1,-4 2 1,-4 1 201,17 0 0,-8 2 0,0-1 0,-3-1 0,0 0 0,-9 1 0,-7 3 0,0 1-133,13 3 0,10 1 0,-6 2 133,1 2 0,1 1 0,-18-1 0,5-1 0,5 1 0,4-1 0,3 0 0,7 0 0,1 0 0,-1-1 0,-8 1 0,15-1 0,-6-1 0,5 1 296,-23-1 0,4 0 0,3-1 0,2 1 1,2 1-297,2 0 0,6 0 0,2 1 0,-2 0 0,-4 0 0,-8 0 1348,17 1 0,-9 1 0,14 0-1348,-27-3 0,12 1 0,8-1 0,4 0 0,0 0 0,-4 0 0,-7 1 0,-12-1 0,9 2 0,-11 0 0,-4 0 0,4-1 0,10-2 0,3-1 0,-1 0 0,-7 0 392,0 2 0,-5-1 0,-12 1-392,24-2 673,4 0-673,-23 0 1190,-16 2-1190,16 5 1792,16 10-1792,-15 1 0,7 2 0,7-1 0,5 0-489,-14-1 0,5 1 1,7-1 488,3-4 0,7 0 0,3-2 0,-3 0 0,-9-3 0,-1 0 0,1-1 0,6 0 0,-15-2 0,3-1 0,3 0 0,2 0 0,3 0 0,1-1-386,-6-2 0,3 1 1,4-1-1,0-1 1,1 1-1,-2-1 1,-4 0-1,-5-1 386,17 1 0,-6-1 0,-3 1 0,0-1 0,5 0 0,-3 1 0,7 0 0,0 0 0,-2 1 0,-8-1 0,-10 0 0,5-1 0,-12-1 0,-8 2-365,-5 0 0,-7 0 365,42 3 0,-39 2 0,-3 0 0,22 2 1501,0 8-1501,-8-9 0,6 0 1619,-7 2 0,1 0-1619,9-2 0,-2 1 0,-16-2 0,-8 0 965,-5-2-965,-31 0 0,-5-4 0,-6 4 0,-2 0 0,-2 1 0,0 54 0,0-14 0,0 50 0,0-38 0,0-2 0,0 10 0,0 19 0,2-58 0,-1-15 0,3 14 0,-1-2 0,0 5 0,2 11 0,-2 2 0,0 1 0,2 8 0,-1-16 0,-1 9 0,4-10 0,-6-7 0,4-6 0,-5-16 0,0 9 0,0-2 0,-2 5 0,2-4 0,-2 0 0,2 19 0,0-1 0,0 9 0,2-17 0,-2-1 0,5-1 0,-2 5 0,0-3 0,1-13 0,-4-8 0,2-3 0,-4-2 0,0-1 0,-5 1 0,-6-1 0,-1 1 0,-2 0 0,-4-5 0,8 0 0,-3-3 0,4 3 0,-2-10 0,4 11 0,-3-12 0,7 15 0,-3-7 0,3 2 0,-2 0 0,5 2 0,0 6 0,2 1 0,6 3 0,2 3 0,8 4 0,3 1 0,-1-2 0,0 5 0,-6-8 0,-5 6 0,1-6 0,2 5 0,-2-4 0,2 4 0,-5-7 0,6 1 0,-5-2 0,9 0 0,-10 0 0,3 2 0,-3-1 0,12 7 0,-7-2 0,8 4 0,-12-8 0,-3-4 0,1-1 0,0-4 0,6-3 0,-3 1 0,0-2 0,6 2 0,5-15 0,3 8 0,0-15 0,-11 19 0,-2-4 0,-5 7 0,3 1 0,-6 6 0,2-2 0,-2 4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16:44:20.98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98 24575,'13'10'0,"9"5"0,36 50 0,-18-17 0,0 3 0,-2 1 0,-1 4 0,10 19 0,-4-2 0,-3 12 0,-5-9 0,2 8 0,-9-18 0,1 4 0,0 0 0,3-1 0,0 0 0,5 6-261,-5-9 0,4 6 0,2 3 1,1-2-1,-1-3 261,5 4 0,1-2 0,1-2 0,-1 1 0,-1 0 0,1-1 0,0 1 0,1 0 0,6 6 0,2 3 0,-2-4 0,-5-12 0,1-3 0,-3-5 0,15 29 0,-6-10 0,-10-34 0,5 34 0,-15-31 0,6 7 0,-4 8 0,4 12 0,2 3 0,-2-5 0,3 1 0,0-3 0,2 6 260,-6-7 1,2 7 0,1 2 0,-2-3 0,-3-8-261,3 4 0,-4-7 0,-1-3 0,10 17 0,-5-7 0,13 17 0,-38-67 0,3 4 0,-8-12 0,6 6 0,-11-10 0,7 7 0,-9-10 0,0-1 0</inkml:trace>
  <inkml:trace contextRef="#ctx0" brushRef="#br0" timeOffset="1617">6731 0 24575,'-4'11'0,"-10"36"0,-4 12 0,3-9 0,-2 2 0,-6 19 0,-1 1 0,1-8 0,1-6 0,-7 3 0,-6 27 0,15-41 0,-1 1 0,-5 17 0,-2 2 0,1-7 0,0 3 0,2 0 0,-1 6 0,-1-2 0,-11 19 0,-4 5 0,11-22 0,-2 7 0,0 0 0,1-6 0,1-2 0,1-4 0,-1 0 0,-4 5 0,-1 1 0,5-6 0,6-1 0,3-8 0,-13 17 0,13-17 0,1-2 0,-4-5 0,-15 41 0,19-49 0,-19 38 0,19-35 0,-3 2 0,4 0 0,-1-1 0,-2 4 0,3-3 0,0 3 0,-10 24 0,1 0 0,9-24 0,1-1 0,-1 18 0,1-2 0,-12 16 0,11-10 0,0 0 0,-9 21 0,8-4 0,6-30 0,2-20 0,1-5 0,-4 4 0,-18 37 0,8-16 0,-1 2 0,2-6 0,0 2 0,-4 9 0,3-7 0,9-16 0,6-11 0,7-23 0,3-1 0,-1-1 0,2 9 0,-2 3 0,2 11 0,-3-11 0,3-1 0,0-13 0</inkml:trace>
  <inkml:trace contextRef="#ctx0" brushRef="#br0" timeOffset="5000">144 63 24575,'23'0'0,"10"3"0,34 1 0,-14-1 0,3-1 0,2-1 0,10-1 0,-11 0 0,1 0 0,6 0 0,-2 0 0,-15 3 0,47 22 0,-38-9 0,4 3 0,4 2 0,4 0 0,-3-4 0,5 1 0,-9-4 0,23 6 0,-11-7 0,-11-3 0,-38-6 0,34 1 0,31 3 0,15 1 0,-34-6 0,2 0 0,9 2-603,3 2 1,10 2-1,7 2 1,0-1-1,-3-1 603,-6-2 0,-1-2 0,-1 1 0,1-1 0,1 2 0,2 1 0,1 1 0,1 0 0,-2 0 0,1-2 0,-4-2 0,2-1 0,-1-1 0,-4 0 0,-7-1 0,12-1 0,-7-1 0,-5-1 0,16-1 0,-13-1 0,3-5 0,-30 5 0,33 1 0,10-1 0,-22-3 0,1 1 0,23 0 0,-6 1 0,-2-7 3013,-8-4-3013,-40 5 0,19-3 0,-46 7 0,13 0 0,23-18 0,-11 9 0,17-10 0,-40 20 0,1 2 0,-5-1 0,-1 3 0,76-27 0,-25 8 0,21-7 0,1-2 0,-10 2 0,-16 7 0,-5 4 0,-21 9 0,-1-1 0,6 5 0,-24 1 0,19-3 0,-25 5 0,0-2 0,4 2 0,35 0 0,-14 0 0,20 0 0,-31-3 0,-7 1 0,-3-1 0,-1 1 0,-3 4 0,-6 0 0,-4 1 0,-2-1 0</inkml:trace>
  <inkml:trace contextRef="#ctx0" brushRef="#br0" timeOffset="6800">7060 142 24288,'4'-3'0,"5"4"143,1 5-143,0 0 48,15 47-48,-16 6 0,-2 14 0,0-4 0,6 0 0,-1 0 8,-2 8 0,-1 6 0,-2-18-8,-2-12 72,5-25-72,-10-28 0,2-11 0,-5-11 0,-3-56 0,-1-3 0,7-17 0,4 3 0,6 31 0,-3 8 0,-4 14 0,-3 27 0,1 1 0,0 8 0,1-1 0,-2-29 0,0 0 0,-2-2 0,1 16 0,0 31 0,1 8 0,0 19 0,2 59 0,-1-44 0,3 31 0,-3-75 0,1-5 0,-2-9 0,0-22 0,3-49 0,-2 4 0,0-3 0,-1 47 0,-9 56 0,-3 16 0,2 18 0,0 5 0,-7 24 0,9-29 0,2-6 0,2-20 0,4-22 0,0-60 0,5 20 0,-4-29 0,1 45 0,-2 1 0,0 15 0</inkml:trace>
  <inkml:trace contextRef="#ctx0" brushRef="#br0" timeOffset="8667">6476 1523 24575,'-2'14'0,"-8"71"0,-1 6 0,4-18 0,0 2 0,0-11 0,1-2 0,4-4 0,0-4 0,-1 24 0,3-15 0,-2-36 0,2-1 0,-3-1 0,3-8 0,0 7 0,0-20 0,0 2 0,0-13 0,7-67 0,4 21 0,2-8 0,-1-14 0,1-10 0,1 6 0,2 2 0,0 3 0,1-23 0,-4 14 0,-7 45 0,-1 1 0,-4 23 0,1 12 0,-2 2 0,0 5 0,2-3 0,-2 0 0</inkml:trace>
  <inkml:trace contextRef="#ctx0" brushRef="#br0" timeOffset="10967">5898 3064 24575,'0'7'0,"0"25"0,-3-1 0,-6 48 0,-6 6 0,4-11 0,2-7 0,9-45 0,0-13 0,0-7 0,0-10 0,0 0 0,4-71 0,5-3 0,2-10 0,-3 21 0,0-2 0,1 0 0,5-27 0,1 6 0,-3 24 0,0 17 0,-5 36 0,-3 21 0,-4 14 0,-14 63 0,-6 24 0,3-15 0,0 4 0,3-10 0,0 5 0,1-9 0,-3 1 0,5-14 0,8-14 0,3-51 0,4-15 0,3-2 0,3 0 0,-3 2 0,-3 11 0,-4 0 0</inkml:trace>
  <inkml:trace contextRef="#ctx0" brushRef="#br0" timeOffset="11934">5611 4090 24575,'-2'2'0,"2"10"0,3 19 0,11 55 0,-7-16 0,4 15 0,-6-48 0,-3-26 0,1-1 0,1-9 0,-2 1 0,1-2 0,-1 0 0</inkml:trace>
  <inkml:trace contextRef="#ctx0" brushRef="#br0" timeOffset="14606">3776 5374 24575,'-12'52'0,"-8"8"0,-5 9 0,3 13 0,-2 3 0,-5-2 0,1-3 0,10-16 0,4-11 0,6-20 0,15-18 0,26 8 0,-6-6 0,21 10 0,5 0 0,-3-4 0,8-3 0,0-4 0,-15-7 0,35-14 0,-13-5 0,2-5 0,-7 3 0,-25 2 0,-20-14 0,10-35 0,-1-17 0,-11 11 0,-3-4 0,1-1 0,2 2 0,2 0 0,-2-3 0,0-20 0,-1-4 0,-4 13 0,-4 25 0,-1 6 0,4-15 0,0 6 0,-4 12 0,-3 35 0,-2 4 0,0 11 0,-16 7-6784,3 2 6784,-20 7 0,-47 13 0,32-13 0,-39 9 0,63-17 0,7-7 0,-10 8 6784,7 3-6784,-7-2 0,12 2 0,-1-7 0,3 4 0,-7-3 0,7 2 0,6-6 0,5-1 0,2-1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6T14:47:58.269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420 1 24575,'10'20'0,"1"9"0,1 18 0,-2 17 0,-4-9 0,-9 43 0,-12 0 0,-2-21 0,-1 4 0,-1 2 0,0-1 0,0 0 0,1-2 0,3-8 0,3-3 0,7-15 0,1-4 0,-4 44 0,8-7 0,2-22 0,-1 3 0,1-30 0,-2-8 0,0-5 0,4 0 0,-2 2 0,4 2 0,-5-9 0,1-8 0,0 2 0,-2-1 0,2 13 0,0-5 0,-1 1 0,1-12 0,-16-8 0,1-8 0,-61-18 0,46 15 0,-52-15 0,64 14 0,-14-3 0,17 0 0,2 3 0,6 1 0,2 7 0,2-10 0,-3-3 0,-3-11 0,0 0 0,-4-11 0,7 19 0,0-5 0,4 22 0,6 4 0,-3 2 0,10 3 0,2 15 0,-4-10 0,9 24 0,-9-19 0,4 11 0,-1 0 0,-2-6 0,1 7 0,-1-10 0,-2 9 0,1-9 0,-5-2 0,3-2 0,-7-11 0,1 3 0,3-5 0,1 1 0,7 5 0,2-4 0,-4 4 0,12 0 0,-2 6 0,7-3 0,-6 2 0,-12-11 0,-6-3 0,-3-2 0,-2-3 0,0 1 0,0 0 0,2-15 0,3 0 0,16-33 0,6-5 0,-2 6 0,0 9 0,-13 20 0,1 11 0,3-7 0,1 8 0,3-4 0,-3 6 0,0-3 0,-3 3 0,-2-1 0,-2 2 0,-2 2 0,-7 3 0,1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6T14:48:46.337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420 1 24575,'10'20'0,"1"9"0,1 18 0,-2 17 0,-4-9 0,-9 43 0,-12 0 0,-2-21 0,-1 4 0,-1 2 0,0-1 0,0 0 0,1-2 0,3-8 0,3-3 0,7-15 0,1-4 0,-4 44 0,8-7 0,2-22 0,-1 3 0,1-30 0,-2-8 0,0-5 0,4 0 0,-2 2 0,4 2 0,-5-9 0,1-8 0,0 2 0,-2-1 0,2 13 0,0-5 0,-1 1 0,1-12 0,-16-8 0,1-8 0,-61-18 0,46 15 0,-52-15 0,64 14 0,-14-3 0,17 0 0,2 3 0,6 1 0,2 7 0,2-10 0,-3-3 0,-3-11 0,0 0 0,-4-11 0,7 19 0,0-5 0,4 22 0,6 4 0,-3 2 0,10 3 0,2 15 0,-4-10 0,9 24 0,-9-19 0,4 11 0,-1 0 0,-2-6 0,1 7 0,-1-10 0,-2 9 0,1-9 0,-5-2 0,3-2 0,-7-11 0,1 3 0,3-5 0,1 1 0,7 5 0,2-4 0,-4 4 0,12 0 0,-2 6 0,7-3 0,-6 2 0,-12-11 0,-6-3 0,-3-2 0,-2-3 0,0 1 0,0 0 0,2-15 0,3 0 0,16-33 0,6-5 0,-2 6 0,0 9 0,-13 20 0,1 11 0,3-7 0,1 8 0,3-4 0,-3 6 0,0-3 0,-3 3 0,-2-1 0,-2 2 0,-2 2 0,-7 3 0,1 2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3:57.002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65,'70'-17,"-1"0,-11 4,-11 1,-26 6,-25 10,1-1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06.10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750 0,'-44'62,"9"-12,21-30,6-9,-1 3,0-2,-6 15,-9 8,3 10,3-16,7-6,1-7,3-9,-7 16,4-8,-6 8,4-5,-3 5,9-16,-3 11,-12 1,10-6,-11 11,16-18,-15 18,10-13,-13 11,15-15,-2 5,-6 16,-10-1,-11 28,1-21,12-2,7-8,4 1,4-5,-1 4,7-17,1 5,-8 8,-4 17,-9 8,6 9,-3-5,15-18,-1-8,10-13,-3 5,2 23,-2-15,0 32,-2-36,1 23,-2 4,3-14,0 8,0-24,0 15,0 14,0 18,0-14,0 3,0 48,0-1,3-22,-2-44,2-12,-1-16,2 26,2-20,-2 24,1-21,-4 10,3-6,0 13,-2-19,6 11,-7-11,15 0,-7 0,7-6,-2 12,-6-8,15 27,-5-13,1 10,8-4,-9-15,3 3,1-8,-10-2,7 1,-6 1,4-1,-8-1,8 9,-9-6,5 13,1 4,-7 6,4-1,-6 1,11 10,7 8,-1-1,0-15,-13-15,-2-15,3 7,2 4,-1-4,0 3,10 2,-12-12,12 12,-14-11,1 1,4 9,1-3,10 13,37 27,-8-8,-8-12,0-2,1 4,-3-12,-29-9,-6-6,-3 19,-3-15,6 25,-6-28,2 8,-3-1,0-5,-11 11,8-11,-10 3,6 3,0 3,0 0,3-1,-18-36,12 9,-16-19,14 16,8 2,-10-15,10 4,-7-11,0 2,-1 7,-6 0,7 6,-1 6,1-8,-6-8,3-1,-1-3,10 14,2 4,-10-7,-11-22,0 2,-6-9,17 20,1 13,8 3,-13-3,10 0,-20-9,7-7,-15-6,14 7,-2 5,20 17,-8-5,-8-29,-22-31,-10-6,7 2,10 40,23 12,5 16,-8-13,2-13,-3 13,6-8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08.95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0,'16'94,"1"-11,-12-32,4-11,2 17,3-23,-3 0,2-2,-6-1,0-2,5 7,0 2,3 1,0 2,-6-13,3-6,-5-8,0-3,0 7,-1-4,11 34,-2-8,14 52,-11-32,8 32,-11-45,2-2,-5-23,-5-12,2 17,-5-17,5 19,-7-19,4 12,3 8,-2-4,2-2,-6-15,1 4,-3 23,1-17,-2 41,0-26,0 9,0 30,3-28,-2 19,-1-18,0-22,-6 29,-1-28,-2 41,-1-41,3 26,0-29,4 5,-6 16,-4 5,0 8,-14 27,15-33,0-1,0 1,-7 17,7-4,-12 3,11-26,-14 37,9-13,-3-17,0-1,5 13,-17 7,22-29,-2-4,-1 5,2-12,2-6,5-11,0-9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14.26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463 285,'16'64,"-1"0,1 28,-4-4,-5-9,-4-21,-1-8,-2-26,0-15,0 13,3 8,-2 24,2-15,-3-1,0-10,0 35,-13 34,10-19,-9-9,12-55,4 31,-3-15,12 29,-8-35,7-8,3-9,-4-6,9-1,-5-26,11-27,4-18,-4-7,-1-11,2-1,4-2,2 0,-1-4,-8 15,0-3,-1 0,-1 3,5-11,0 4,-5 9,-3 11,-2 6,4-14,-6 32,-20 73,3 45,2 28,0-16,-2 12,1 5,-1-2,0-19,-1 0,0 0,1 1,0-1,0 3,2 2,0-2,-1-1,0-6,-2 25,0-7,1-14,2-27,1-6,2 7,0-10,0-29,3-99,-3 23,2-5,-1 0,0 2,2 18,-1 32,3 68,4 5,-1 8,-5-3,1 7,1-3,2 10,0 1,-2-11,-1 4,0-4,1 0,2 4,0-14,3-9,-2-44,-2-54,-4-29,-3 1,1-5,1 15,0-4,-2 3,-7-25,-3 13,-2 19,-10 27,6 47,-20 72,6-36,-1 4,4 17,-1-1,-3-23,3-6,6 4,3-53,6 4,-15-37,13 7,-7-22,13 25,3 14,28 97,-15-59,18 63,-25-87,-2-1,-5-33,-2-38,-4-13,-2-4,4 27,0 2,-2-20,-5 10,-11 28,12 25,-19 13,26 7,-10 3,-22 60,17-36,-19 38,29-53,6-15,-25-35,17 9,-18-23,25 30,1 14,-14 31,12-14,-17 18,17-25,-1-1,-16-41,1-24,0 15,-5-4,-9-12,-1 3,-22-15,-8 7,49 56,10 10,-3 40,-3-2,-5 21,4-5,2 4,2 34,3-29,1 1,8-3,2-6,3-1,5 6,0-33,-2-12,3 4,-4-2,3 0,0 2,-3 0,4-8,4 5,1-6,1 3,-5 0,6 16,-6 3,9 12,-15-12,8 14,-8-18,1 7,0-11,-2-2,10 27,-6-17,6 16,-7-30,-1-1,4 1,-3-4,6 3,1-6,3-3,2 2,5 2,-8 0,9 12,-12-11,4 6,3-8,-7-6,9 3,-6 0,-3-2,8 4,-10-4,7 2,0 4,-7-3,6 6,-6 0,-1-3,0 20,-4-17,-2 17,-1-2,-2 3,0 11,0-12,0-5,0 2,0-10,-2 5,2 6,-3-3,3 16,3-3,1-8,8 29,6-11,-1 4,4-16,-15-32,1-1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17.72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0,'22'66,"10"8,-5 2,1-5,-13-18,-9-9,5-16,-10 1,6-16,-6 3,9 1,-9-2,12 16,-10-16,6 13,-6-16,4 8,-3-9,3 4,1 8,-2-10,0 10,0-10,-2 4,4 7,-2-3,-1 3,1-10,-1 5,5-1,-6-2,5 0,0-6,0 1,6 1,-5 2,-2-3,4 11,-3-4,-1-2,-3 2,-2-1,1 9,-1 0,9 22,-7-23,14 40,-11-40,5 19,-6-21,-1-4,-3-2,2-1,-5 6,2-4,-2 9,0 4,0 8,0 0,3-3,-5-17,4-3,-7 7,2-11,-1 27,0-19,3 11,-4-13,-5 43,0 15,-5 7,1 7,6-57,-1 9,-2-14,6-2,-7 2,7-8,0 1,-3-5,3-1,-9 10,7-14,-2 10,2-4,-5 14,-3 7,-3 9,0-6,-1 12,-7 4,8-15,0-4,13-30,-6 9,-4 15,-3-2,-4 21,9-24,4 5,6-17,-1-1,-2-4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21.95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0 294,'58'-4,"-20"1,-6-2,-17 3,2 2,10 0,25 4,8 2,27-4,-17 3,12 1,-2-1,18 0,2-2,-11 0,5-1,-5 1,-19-1,-4 0,3 0,18-1,3-1,-10-1,-19-2,0 0,11 0,7-1,-7-2,-14-3,-2-2,14 1,3 0,-7 0,-1 2,-3 4,0 1,11 0,1 1,1 2,2 0,21 0,3 0,-5 0,-2 0,-2 0,-2 0,-4 4,-7 0,7-2,-32 2,-3-1,6-6,-11 2,50-7,-8 1,-18 0,11-2,-4 0,1-2,-1-1,-7 0,4-1,-12 1,14-6,-19 3,-54 10,6 5,15-3,-3 3,23-2,55-10,-21 1,7-2,-19 3,2-2,-3 1,13-2,-9 1,16-3,-83 13,-4 4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24.05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1 300,'86'-4,"-5"-2,15-2,-23-1,6-2,6-1,2 2,3 2,4 1,3 1,1-1,-2 1,-2-2,-3 0,1 0,5 0,7 2,-21 3,8 0,5 1,3 1,0 0,-2 0,-3 0,-7 0,-9 1,21-1,-13 1,-1 1,12-1,-6 0,11 0,6 0,2 0,-5 0,-8 0,-13 0,9 0,-13 0,0 0,12-1,1-1,-1-1,-8 0,-2-1,-6-1,-2-1,-5-1,5 2,-9-2,-13-3,-13 8,6-8,17 8,-4-5,8-2,19 8,6-1,-17-4,2-4,0 3,0 5,0 3,-3-3,13-6,-7-1,-18 4,-8 0,-8-2,-19-1,-20 8,1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26.95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1 280,'99'2,"-23"-3,-7 6,-10-1,19 11,-5-7,13-1,-18-1,7 0,4 0,0-1,5-2,0 0,2-2,2 0,-8-1,2-1,2 0,-2-1,-3 1,6-1,-2 0,-4 0,-2-2,5-2,-4-1,-5 1,18 0,-11 2,-2-3,-28 5,-35 0,25-14,-2 5,20-3,7 0,-8 5,1 1,9 1,0 0,-10 2,-4 1,27 0,-2-2,-13-2,-11 3,-25 2,43-1,-3 3,30-8,-26 1,10 0,-9 0,-19 0,-2 0,49-4,-11 1,-53 6,-20 5,-11 0,14 0,-3 0,4 3,7 0,-11 1,1-1,-6-3,2 0,39 4,-2-2,2 3,2 0,11-4,17 0,-1-7,-7-5,-3-4,3 1,-22 8,-2 1,12-10,-1 1,-9 10,-7 2,-2-5,8 0,-42 5,-3-3,17 2,-2 0,31 7,-21-3,7 3,-16-4,-6 0,2 0,22-4,-21 3,20-5,-26 5,10-1,12 2,-8 0,4 0,-26 0,-2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30.26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0 317,'57'-2,"-9"-3,-8 4,14 1,13-2,0-1,6-2,5 0,16 2,6 0,5 0,-10-2,6-1,0 1,-6 0,4 2,-4 1,7-1,-12 0,9-2,2 1,-5 0,-12 1,-5 1,-10 2,6-1,9-2,7-1,-2 0,-12 2,-3 2,-9 0,-8 0,1 0,24 0,-3 0,6 0,2 0,2 0,-1 0,2 8,5 1,-31-3,3-1,4 1,7 2,-5-3,-2-4,-2-2,17-1,-8-3,-10-7,-14 4,-39 2,-8 4,12-1,7-3,11 2,4-7,10 6,-8 0,-5-1,-14 6,-12-3,34 3,-5 0,18 0,-16 0,-17 0,10 4,-3-3,5 3,3-8,-7 3,-6-3,-11 4,1 0,0-3,7 3,-4-3,-2 3,-9 0,9 0,6-3,-3 0,0-1,5 0,-2-1,24-8,-18 4,13-7,0 3,-14 6,5-4,-27 9,1-1,13-2,-8 2,7-2,40 2,0-5,10-2,22 2,1 1,-20-4,-4 0,-10 3,-12 2,-29 3,-2 1,0 2,-1 0,-2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32.29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64,'66'0,"8"0,-21 0,1 0,7 0,15 2,6 0,-16 1,3-1,8 0,-3 0,9-1,4 0,0 0,-3 0,9 1,-2-1,2 1,8-1,-17-1,6-1,5 0,1 0,-1 0,-5 0,-6-1,15 0,-8 0,-1 0,8 0,-5 1,7-1,5 1,-3 0,-8-1,-12 1,-2-1,-12-1,4 1,27 2,5 0,-18 0,5-3,-47 3,-16-3,-16 1,9 1,34-1,33-3,-27 4,2 0,-1-1,0-1,1 1,1 0,8 1,0 0,-13-1,3 0,7 1,7 2,-4-1,10-3,-3 1,0 0,-6-1,16-2,-75 2,-7 3,17-3,-11 3,14-2,-15 2,2 0,-4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33.94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0 354,'93'-21,"-40"12,2 0,8-3,2 1,0 0,3 1,12-3,8 0,-1 1,9 1,4 1,-15 3,4 1,1 0,-1 1,-4-1,-2 0,2 0,5 1,-10 1,5 0,3 0,0 1,-3 1,-6 0,5 1,-6 1,-1 0,4-1,2-1,4 0,2-1,-2 0,-4 1,5 0,-3 1,-4-1,-7 0,22-4,-9 0,-6 1,-14 1,-25-2,35-5,-4 3,-8 0,14 0,-6 1,-2 2,3 1,12 0,10 0,-5 1,-22 0,-2 2,-2-1,31-1,-3-1,-17 1,-9-1,-7-4,-39 6,-15-1,1 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35.45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0,'54'27,"0"0,35 11,5-5,-19-16,7-3,-5-1,9 1,7-1,1-3,-7-4,4-2,2-2,1 0,1 0,3 2,1-1,1 0,0 0,2-1,-12 0,1-1,2 0,-2 0,-1 0,-2 0,4-1,-1 0,-2 0,-3 0,-6 0,16 0,-8 0,0 0,5 0,0 0,-9 0,-4 0,-4 0,19 0,1 0,-19 0,-2 0,7 0,-8 0,-13 0,28 0,-10-4,15-3,-19 2,0-1,20-7,-29 4,0-1,-8 4,-3 0,34-8,3 10,-63 1,-12 5,-15-1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36.48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0 205,'78'-16,"-1"1,1-1,6 3,11 1,5 0,-1 0,-6 1,-1 0,-4 0,1 1,8 0,-17 2,7 1,4-1,2 0,-2 2,-2 0,-7 2,5 2,-6 1,-1 2,-2-1,3 0,5-1,3 0,-1-1,-3 1,-4 0,22 0,-5 1,-10 1,9-1,-22 2,-37 1,-1 3,37 3,4-5,-24 2,7 3,1-1,6 0,0 2,30 11,-3 0,-11-5,-5-2,-16 2,-15-6,-35-10,-6 2,-7 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37.61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6,'78'0,"-15"2,0 2,18 3,12-1,6 0,-35 1,5-1,-1-2,9 0,5-1,-5 0,13 2,-3 0,1-1,3-1,0 0,0-1,4-1,1 0,-15-3,-28-1,-6-1,19 1,-6-2,-17-6,-5 6,26-10,-25 3,9 0,-38 3,-3 8,-7 2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39.30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1,'98'0,"-2"0,-2 0,0 0,-24 0,11 0,2 0,2 3,0 1,-3 0,-16-1,-2 0,7 0,4 0,8 1,5 0,-1 0,-5-1,1 1,-3 0,-1 0,2-1,3-1,1 0,0 0,-4-1,15 2,-3 0,-15-2,16-1,-49 0,-20 0,6 0,-14 0,6 0,-12 3,26 6,9 4,30-2,-27-1,-1-10,-38 3,0-3,25 0,7-5,5 4,-9-6,-20 6,-6-1,5 2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40.45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63,'70'-7,"1"-1,-1 1,10-2,3 0,-4 2,16 1,-4 3,-6-1,-1 1,6 5,-10 2,-18 6,34 3,-57-4,23 10,-12-7,5-1,11 2,2-1,8 1,0-1,-1 0,-6-1,19 4,-38-1,-14-1,-16-5,18 15,25 25,-5-8,15 21,-37-40,-9 0,-9-18,-11-1,7-2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45.30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1 163,'73'-4,"-1"1,24 2,-4 1,-42 1,0 0,29 2,-1-1,13-2,-27 5,6 1,19-3,9 1,-14 2,5 0,5 0,-9-3,4-2,3 0,2 0,-9 1,3 0,1 0,3-1,1-1,-4-2,4-1,2 0,-1-1,-3 0,-5 0,11 0,-7 1,-1-1,5-2,-1-2,5-1,1-1,-5-1,-10 0,-3-2,-8-2,0 1,10 0,2 0,-7 1,4-1,-13 2,-2 3,-55 9,5 0,-5 0,80 0,-14 0,-9 0,7 0,6 0,-4 0,-27 0,-2 0,16-2,-7 1,-16 0,0-2,-21 3,34 0,-34 3,31-3,-34 2,2 1,8-3,-6 2,45 1,-17 3,14-5,-24 1,-25-5,27 1,-12 2,9 2,-17-2,-8 3,18-3,-7 0,4 0,-13 0,-10 0,-68-2,47 1,-55-1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46.81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0 220,'83'-3,"-26"1,0 2,13 0,-4-1,13 2,13 0,12 2,-1-1,-15-1,0-1,10 1,-11-1,10 0,7 0,1-1,-5 1,-9 0,-2 0,-8 0,-1 0,9-2,-5 0,8-2,3 0,1 0,-2 1,-4 0,-1 2,-3 0,-2 1,-1 0,-1-1,11-2,-3-1,1 1,5 0,1 1,7 0,1 1,-5 0,-9 0,2-1,-9 0,9-3,-2-2,11-3,3-1,-1 0,-9 2,-11 3,-6 1,0 0,4-2,4-2,5-2,1 0,-3 1,-10 3,1 3,-9 2,1 0,7-1,0-1,-14 1,12-2,-19-3,-26 3,-24 1,2 1,-2-2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48.85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1,'83'0,"-33"0,1 0,37 0,-4 0,5 0,-20 0,5 0,18 0,11 0,-3 0,-25 0,-4 0,5 0,1 0,5 0,3 0,3 0,0 0,7-1,0 1,-2 0,-8 1,10 0,-8 1,3-1,-3 0,6-2,-7 2,-18-1,11 5,-52-5,-5 0,-2 0,-2 0,10-2,-14 1,3-1,10 2,6 0,7 0,0 0,-5 5,28 6,22 3,-17-6,10-1,8 1,0-1,-2 0,14 3,0 0,1-1,2 0,-7-3,3 1,0-1,-1-1,-5-1,2-1,-2-1,-6-1,-8-1,13 1,-7-2,8 1,-9 0,-15 0,-46-2,-10 1,-77-1,51 2,-53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50.11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1 190,'55'-10,"-9"-1,27-18,-26 10,6-3,4 1,17-1,-1 6,2-1,-38 10,3-3,-24 4,-6 6,15 3,32 6,-1-4,6 0,2 6,1-1,1-6,-2 0,-14 4,0-1,11-3,0-1,36 4,-23-4,8-1,4-1,8-2,-8 1,-11 0,-1 0,5 0,5 0,-20 0,-18 0,-29 0,-10 0,-2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52.50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0 120,'86'-20,"-1"1,-26 2,1 2,40-1,-3 2,-7 1,-27 10,3 2,-11-1,13 4,2 3,20 3,12 3,7 1,0 0,-8-1,-14-1,-6-2,-10-2,0 1,16 2,-11-1,14 2,9 1,7 1,2 0,-1 0,-3 0,-9-1,-11-2,-15-2,11 1,-18-2,10 1,11 2,15 2,2 0,-8-1,-22-3,27 1,-36 3,8 0,8-7,8-3,-7 0,-11 2,1-1,7-4,12-2,-1-1,-15 0,-18 2,-5-2,24-7,-8 0,-31 6,2-6,-19 8,5-6,-2 6,-3-4,-2 8,-2-3,10 1,5-6,44-33,-23 16,19-17,-33 25,-23 10,31-3,-29 7,17 0,-20 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53.55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3025 1,'-53'6,"-1"0,-24 2,0 1,22-1,-2-1,-11-1,-8 1,5-2,0 0,2-2,-14 0,1 0,20-3,2 0,-8 2,-5 2,0 1,-6 2,-2 1,-6 3,-4 2,-10-1,21-6,-10 0,-4-1,-1-1,5 1,9 0,-19 5,9 0,-4-3,-3-3,-9-2,8-2,24 1,-1-1,42 0,19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55.35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7,'73'-1,"1"0,0 0,20-1,6 1,1 1,-21-1,0 1,2 1,2-1,12 0,4 0,0 0,-7 0,6-1,-6 1,-1 1,-9-1,-1 2,6 2,3 3,6 4,2 0,-6-1,6-3,-5 0,5 0,-3 3,6 1,-2 0,-11-4,14-2,-16-4,4-5,-8-3,-30 2,0-1,41-1,-30 2,-5 0,0 4,25-9,10 6,-43-2,33 3,-51 3,55 0,-26 0,37 4,-52-3,-7 3,-19-4,2 0,-11 0,12 3,32 2,-6 4,32 2,-37-5,6 3,-21-8,8 5,-17-6,-5 3,-5-3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56.71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1 362,'96'-8,"-41"6,1-4,0-9,0-2,-1 5,1 1,15-10,-1 0,-18 8,1 0,14-3,-1 2,28-2,-38 5,2 1,7 5,2 3,15-5,3 1,3 2,3 0,-17 0,2 0,-6 1,-4 2,-1 0,7 0,7-1,-6-1,-6 0,1 0,4 3,7 0,-2-1,20-8,-3 0,-5 5,1-1,-22-4,2-3,-5 3,0 3,-3 2,9-5,1 1,11 4,-1 3,-24 0,-2 0,4-1,-7-1,-9 1,-32 1,-8-1,8 2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57.932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1 353,'57'-7,"36"-6,-2 2,-36 1,6-2,11-1,7-2,-5 0,-6-1,1 0,0-1,6-1,-9 3,-12 4,-5 2,8 0,3 0,8-2,2 0,4 7,4 0,17-6,3-1,-5 2,-2 1,-17 2,-2-2,4-5,3 1,18 4,-3 3,-34-1,-1 2,25 0,-12 2,-39 2,-23 0,3 0,7 0,-6 0,5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1T16:54:59.08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1 351,'63'-1,"0"0,24-6,-31 7,0-1,19-3,4 9,6 2,-22-3,5 1,19 2,12 0,-5-2,-20-5,-4-2,2 0,9 1,1-1,-5-3,16-10,-14-3,-8 0,-19-1,-35 14,-6-1,0-2,13-10,6 8,-7-6,14 4,4-5,7-7,9-4,21-23,-28 9,3 3,-34 20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21T17:07:48.570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1 779 24575,'19'1'0,"35"13"0,11 0 0,22 6 0,17 1 0,6-3-1093,-32-7 1,8-1 0,6-2 0,4 1-1,3-1 1,1 0 0,-3 1 0,-3-1-1,-6 3 880,1 0 0,-4 0 0,-1 1 0,-3 0 1,2 0-1,3-1 0,5-2 213,3-1 0,10-1 0,7-1 0,0 0 0,0-1 0,-6 0 0,-9-2 0,-11 1 0,-16-2 1318,20-2 0,-15-1-1318,26-4 0,-14 1 1744,-42-1-1744,-24 1 0,22-9 0,24 5 0,22 1 0,-5 0 0,0-3 0,2 1 0,-11 3 0,10-1 0,-1 2 0,-7 2 3111,22 1 0,-6 4-3111,-24 1 0,0 0 0,7 2 0,11 2 0,9 3 0,1-1 0,-11-1 76,-15-2 0,-7-1 1,4 1-77,30 3 0,4 1 0,-26-4 0,-35-6 0,-5 2 0,-21 0 0,-4-1 490,0-1-490,-5-1 0,2-1 0,2-8 0,-6-7 0,0-7 0,-6-2 0,-18-28 0,-7-12 0,-3-1 0,-7-6 0,-12-9 0,-9-7 0,5 5 0,4 1 0,-2 6 0,2 17 0,-5 0 0,10 12 0,-3 1 0,-14-14 0,40 37 0,9 8 0,47 32 0,11 16 0,28 21 0,-19-8 0,4 8 0,9 16 0,3 5 0,-22-22 0,2 0 0,0 2 0,2 4 0,0 2 0,1-1-264,0 0 0,1 1 0,2-1 264,4 4 0,3 1 0,-2-3 0,-5-7 0,0-1 0,-4-2 0,18 20 0,-10-9 0,-6-4 0,-37-17 0,-4-19 0,-13-10 792,-4-10-792,-6-2 0,-8 3 0,-53 28 0,6 7 0,-10 7 0,8-4 0,-5 4 0,-3 2 0,5-3 0,-5 3 0,1 1 0,3-3 0,-8 6 0,4-2 0,-1 1 0,-7 6 0,-1-1 0,14-7 0,23-17 0,6-5 0,-32 30 0,72-54 0,1-2 0,0 2 0,0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22T15:52:52.12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4730 484,'-41'1,"1"5,13 16,-18 14,-4 3,5-4,14-8,17-17,1 7,3-5,1-1,-20 26,0-7,-11 16,14-15,5 3,7-5,-7 5,1 2,-23 22,8 15,-8 4,20-10,1 2,-11 21,2 2,-1 2,13-35,-1-4,-7 10,1-4,4 15,0-36,11-10,-1-6,5-10,-5 14,7-9,-1-2,5-3,-3-2,3 10,-2-7,4 7,8 21,0 30,3-5,-7-1,-2-38,0-2,3-4,5 20,-2-24,0 23,-7-31,2 14,-1-13,14 51,9 20,-15-33,1 0,18 43,-16-46,1-17,-8-15,-1-8,3 7,5-3,0 4,-1-5,-2-7,14 45,-12-13,20 50,-26-47,5-3,-9-23,-4 15,5 6,-4 9,4-13,-5-11,-17 69,14-2,2 7,-8-9,1 1,6 17,4-14,0-35,15-12,-6-34,11 13,-12-16,1 4,10-4,0 12,8 15,-2 1,-11 13,0-19,-9-5,-2-6,2-4,2 5,2 7,-2-8,4 4,-1-12,6-1,-3-2,4-6,-3 3,-3-2,17 2,-18 0,14 2,-14 3,6 3,-7 2,3 1,2 2,14 7,-6-7,4 3,-23-11,-5 19,5 52,5 7,2-4,1-2,3-7,-2 7,-19-75,-1-2,-23-7,16 6,-19-4,6 13,-24 0,-33 13,7-5,-6 0,7 1,2-1,1 1,4-2,-17 5,61-13,5-2,5 2,0-1,-23 7,15-5,-24 5,18-9,-12 0,8-4,4 0,3 0,13 0,-26 0,-12 8,0-2,2 6,24-5,11-4,1-1,-17-2,15 0,-12 0,16 0,-4 0,-4-5,-34-7,23 4,-30-10,4 1,-9-1,-30-4,-6-1,9 0,-1 0,19 8,-3 2,13 1,-13-3,8-1,2 1,-9 2,21 6,1 0,-22 0,15-5,39 2,-50-36,-4 5,18 5,2 0,-12-1,24 3,27 19,-8-9,-18-17,-11 5,-16-22,3 22,9-3,2 0,29 24,-8-21,19 23,-41-53,17 33,-5-14,-2-2,-16-4,20 11,1 0,-7 0,10 3,15 14,-10-29,-4-5,-15-13,-6-7,19 22,1 1,-16-17,0-1,7 10,3 4,10 11,0 1,-3 0,2 1,-13-29,27 43,8 3,8 18,0 0,1-18,0-32,0-14,9 3,2-2,-3 23,0-1,4-25,2 0,4 19,-1 2,-3 1,2-1,11-10,3 2,-7 17,2 0,9-14,2-2,2 1,0 3,-7 16,-1 0,2-6,0 0,18-26,-19 31,2-1,0 3,0-1,5-9,1 2,25-23,-4-5,-16 30,-5 1,-11 11,13-7,0 1,19-5,-1 4,-16 14,4-2,19-17,0-1,-12 16,1 1,27-20,-2 4,4 9,-26 18,0 1,11-6,6 1,-14-5,3-4,-7 6,0 0,7-5,-1 1,-8 5,-1 4,38 0,-3 2,12 12,-47 7,3 3,34 6,8 1,0-6,5 1,-3 6,5 3,-9-3,-10-5,-7-1,4 4,-15 2,-35-2,-4 3,-7 4,6 5,-7-5,2 2,-9-8,3 1,-59 22,-4-3,-8 2,-13 5,-10 4,10-7,-10 4,-1 2,4-1,-9 10,5 2,-3-2,15-10,-4 0,3 0,4-1,3 4,4-1,2-1,-22 14,3-3,19-14,1 0,-6 10,4-2,-3 4,33-15,8-14,-21 41,17-21,-7 16,31-28,4-21,62 1,-12-11,8-6,8-4,9-4,3-7,-6-6,4-6,1-3,-3-1,-3 4,-1-2,-1-1,-2-3,1-6,0-5,-4 1,-5 4,-3 6,-5 2,-7 3,-3-6,-7 6,5 3,-40 27,-58 25,-53 29,-2 3,34-15,-1 2,-4 2,-5 4,15-7,-6 3,-2 3,-3 0,0 2,2 0,2 1,-10 5,1 2,1 0,2 1,2 0,4 1,-1 2,4 0,2 0,3 2,3 1,-12 13,3 4,5-3,10-7,-4 6,13-6,13-2,16-15,23-39,5-2,60-33,32-24,-30 19,4-3,12-11,-23 11,9-7,7-5,4-4,3-2,0-1,-3 1,-4 3,-6 3,5-4,-5 2,-3 1,-1 0,2-1,3-3,5-3,5-4,4-2,-2 0,-4 2,-9 3,-10 7,5-14,-13 6,-14 13,-8 10,-90 101,13-9,-9 12,-6 7,4-10,-5 5,-3 4,-3 3,-1 4,17-18,-2 3,-1 3,-1 2,0 0,1 0,2-2,2-3,-6 9,3-2,1-1,1-1,1-1,1 1,-10 10,-1 3,3-2,6-6,13-12,-1 12,24-21,29-36,23-49,13-25,-1 10,5-4,4-5,3-8,3-7,2-2,1 0,2 1,1 0,2-1,3-4,-12 12,3-5,2-2,-2 2,-3 3,-6 8,8-9,-6 7,0 0,20-21,1-1,-39 46,-62 74,-13 22,-12 20,-1 3,15-20,0 2,-1 1,-1 4,0-1,-3 5,0 2,2-4,3-6,-2 8,3-6,6-7,0 6,15-29,14-40,39-75,-11 32,4-5,4-7,4-5,-3 3,0 0,-3 4,3-3,-11 26,-44 105,-3-15,-5 12,-5 5,-2 4,-4 5,-2 5,-1 1,3-5,-1 5,0 1,0-3,2-6,0-5,2-5,1-3,2-2,-11 21,3-3,27-44,41-67,13-24,2-15,4-13,-6 15,6-8,1-4,-3 3,-5 3,-1-1,-1 1,-1 2,7-13,-2 3,-3 7,2-9,-14 34,-27 51,-21 48,-21 37,-2 0,6-11,-1 0,-6 7,2-5,-6 9,-3 2,3-4,6-12,4-7,5-8,-1-2,-11 16,-1-1,24-43,28-47,28-45,9-18,-8 1,1-5,2 9,4-4,-7 7,-3-8,-14 34,-33 112,-17 48,12-47,-2 2,-2 8,1-4,-1 10,-1 2,1-2,4-9,0 7,4-8,2-6,-3 12,13-34,43-93,-10-4,2-12,2-11,3-11,-1 8,5 2,-3 6,-5-11,-9 32,-15 74,-17 52,-7 17,6-24,1 0,-6 22,5-11,10-34,19-70,12-33,7-16,-5 10,2-4,0 2,11-23,-3 4,-2 8,-8 16,-21 40,-24 79,-12 17,-12 11,2-13,62-123,15-30,-15 21,2-2,4-1,4-4,-4 10,16-11,-50 110,-11 33,-1 10,-3 9,0-6,-2 6,0-8,-1-3,0-15,-4-11,27-122,9-39,-3 11,1-1,3-7,0 8,3 5,-11 62,-6 24,26 22,16-5,4 2,18 17,-16-18,-6-5,-26-12,-10-26,-4-9,8-26,-7 22,2-3,-6 31,1 3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raj Ahmad" refreshedDate="46254.889167361114" createdVersion="8" refreshedVersion="8" minRefreshableVersion="3" recordCount="4" xr:uid="{1BE99F79-01B4-C349-8574-33F7B9252D9D}">
  <cacheSource type="worksheet">
    <worksheetSource ref="B5:C9" sheet="Aggregate Functions &amp; Group By"/>
  </cacheSource>
  <cacheFields count="2">
    <cacheField name="Year" numFmtId="0">
      <sharedItems containsSemiMixedTypes="0" containsString="0" containsNumber="1" containsInteger="1" minValue="2012" maxValue="2015" count="4">
        <n v="2012"/>
        <n v="2013" u="1"/>
        <n v="2014" u="1"/>
        <n v="2015" u="1"/>
      </sharedItems>
    </cacheField>
    <cacheField name="Sales_in_millions" numFmtId="0">
      <sharedItems containsSemiMixedTypes="0" containsString="0" containsNumber="1" containsInteger="1" minValue="124" maxValue="4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raj Ahmad" refreshedDate="46254.901335300929" createdVersion="8" refreshedVersion="8" minRefreshableVersion="3" recordCount="3" xr:uid="{A56D073B-A96E-494A-8EC3-04C08DDA057B}">
  <cacheSource type="worksheet">
    <worksheetSource ref="F21:H24" sheet="Aggregate Functions &amp; Group By"/>
  </cacheSource>
  <cacheFields count="3">
    <cacheField name="Filter" numFmtId="0">
      <sharedItems/>
    </cacheField>
    <cacheField name="Field to Filter" numFmtId="0">
      <sharedItems/>
    </cacheField>
    <cacheField name="Whe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raj Ahmad" refreshedDate="46254.926307407404" createdVersion="8" refreshedVersion="8" minRefreshableVersion="3" recordCount="20" xr:uid="{86E4D1CC-538C-4D46-84F0-BDD3A748FE10}">
  <cacheSource type="worksheet">
    <worksheetSource name="orders"/>
  </cacheSource>
  <cacheFields count="9">
    <cacheField name="order_id" numFmtId="0">
      <sharedItems containsSemiMixedTypes="0" containsString="0" containsNumber="1" containsInteger="1" minValue="1" maxValue="20"/>
    </cacheField>
    <cacheField name="cust_id" numFmtId="0">
      <sharedItems containsSemiMixedTypes="0" containsString="0" containsNumber="1" containsInteger="1" minValue="1505" maxValue="49598"/>
    </cacheField>
    <cacheField name="store_id" numFmtId="0">
      <sharedItems containsSemiMixedTypes="0" containsString="0" containsNumber="1" containsInteger="1" minValue="5" maxValue="200"/>
    </cacheField>
    <cacheField name="order_date" numFmtId="14">
      <sharedItems containsSemiMixedTypes="0" containsNonDate="0" containsDate="1" containsString="0" minDate="2024-02-17T00:00:00" maxDate="2026-02-21T00:00:00"/>
    </cacheField>
    <cacheField name="order_status" numFmtId="0">
      <sharedItems count="5">
        <s v="Out for Delivery"/>
        <s v="Failed"/>
        <s v="Delivered"/>
        <s v="Processing"/>
        <s v="Returned"/>
      </sharedItems>
    </cacheField>
    <cacheField name="gross_total" numFmtId="0">
      <sharedItems containsSemiMixedTypes="0" containsString="0" containsNumber="1" minValue="847.56" maxValue="449562.01"/>
    </cacheField>
    <cacheField name="discount_amount" numFmtId="0">
      <sharedItems containsSemiMixedTypes="0" containsString="0" containsNumber="1" minValue="0" maxValue="3346.1"/>
    </cacheField>
    <cacheField name="net_total" numFmtId="0">
      <sharedItems containsSemiMixedTypes="0" containsString="0" containsNumber="1" minValue="847.56" maxValue="449562.01"/>
    </cacheField>
    <cacheField name="payment_mode_id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456"/>
  </r>
  <r>
    <x v="0"/>
    <n v="124"/>
  </r>
  <r>
    <x v="0"/>
    <n v="365"/>
  </r>
  <r>
    <x v="0"/>
    <n v="1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Rows"/>
    <s v="Field show row wise"/>
    <s v="Group By"/>
  </r>
  <r>
    <s v="Columns"/>
    <s v="Field show Column wise"/>
    <s v="Select + Raw Column Name"/>
  </r>
  <r>
    <s v="Values"/>
    <s v="Aggregate Functions"/>
    <s v="Select  + Aggregate Function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n v="10770"/>
    <n v="133"/>
    <d v="2024-05-02T00:00:00"/>
    <x v="0"/>
    <n v="22033.22"/>
    <n v="0"/>
    <n v="22033.22"/>
    <n v="7"/>
  </r>
  <r>
    <n v="2"/>
    <n v="11061"/>
    <n v="169"/>
    <d v="2024-09-22T00:00:00"/>
    <x v="1"/>
    <n v="300772"/>
    <n v="0"/>
    <n v="300772"/>
    <n v="1"/>
  </r>
  <r>
    <n v="3"/>
    <n v="3958"/>
    <n v="116"/>
    <d v="2025-11-24T00:00:00"/>
    <x v="2"/>
    <n v="4314.3599999999997"/>
    <n v="0"/>
    <n v="4314.3599999999997"/>
    <n v="8"/>
  </r>
  <r>
    <n v="4"/>
    <n v="27898"/>
    <n v="61"/>
    <d v="2026-02-20T00:00:00"/>
    <x v="2"/>
    <n v="237279.22"/>
    <n v="0"/>
    <n v="237279.22"/>
    <n v="7"/>
  </r>
  <r>
    <n v="5"/>
    <n v="33879"/>
    <n v="178"/>
    <d v="2024-12-08T00:00:00"/>
    <x v="2"/>
    <n v="43836.23"/>
    <n v="209.5"/>
    <n v="43626.73"/>
    <n v="1"/>
  </r>
  <r>
    <n v="6"/>
    <n v="20084"/>
    <n v="14"/>
    <d v="2024-11-02T00:00:00"/>
    <x v="3"/>
    <n v="3882.28"/>
    <n v="0"/>
    <n v="3882.28"/>
    <n v="8"/>
  </r>
  <r>
    <n v="7"/>
    <n v="42553"/>
    <n v="166"/>
    <d v="2025-07-25T00:00:00"/>
    <x v="4"/>
    <n v="847.56"/>
    <n v="0"/>
    <n v="847.56"/>
    <n v="4"/>
  </r>
  <r>
    <n v="8"/>
    <n v="37055"/>
    <n v="42"/>
    <d v="2025-07-28T00:00:00"/>
    <x v="2"/>
    <n v="3455.06"/>
    <n v="0"/>
    <n v="3455.06"/>
    <n v="2"/>
  </r>
  <r>
    <n v="9"/>
    <n v="13976"/>
    <n v="36"/>
    <d v="2024-06-05T00:00:00"/>
    <x v="4"/>
    <n v="67490.759999999995"/>
    <n v="0"/>
    <n v="67490.759999999995"/>
    <n v="1"/>
  </r>
  <r>
    <n v="10"/>
    <n v="22261"/>
    <n v="34"/>
    <d v="2024-02-26T00:00:00"/>
    <x v="2"/>
    <n v="48007.27"/>
    <n v="0"/>
    <n v="48007.27"/>
    <n v="9"/>
  </r>
  <r>
    <n v="11"/>
    <n v="42410"/>
    <n v="19"/>
    <d v="2025-07-04T00:00:00"/>
    <x v="2"/>
    <n v="1622.49"/>
    <n v="0"/>
    <n v="1622.49"/>
    <n v="4"/>
  </r>
  <r>
    <n v="12"/>
    <n v="48872"/>
    <n v="39"/>
    <d v="2025-09-07T00:00:00"/>
    <x v="0"/>
    <n v="449562.01"/>
    <n v="0"/>
    <n v="449562.01"/>
    <n v="9"/>
  </r>
  <r>
    <n v="13"/>
    <n v="28199"/>
    <n v="200"/>
    <d v="2024-12-04T00:00:00"/>
    <x v="2"/>
    <n v="82979.64"/>
    <n v="0"/>
    <n v="82979.64"/>
    <n v="7"/>
  </r>
  <r>
    <n v="14"/>
    <n v="4905"/>
    <n v="42"/>
    <d v="2024-08-24T00:00:00"/>
    <x v="1"/>
    <n v="168717.69"/>
    <n v="3346.1"/>
    <n v="165371.59"/>
    <n v="6"/>
  </r>
  <r>
    <n v="15"/>
    <n v="24140"/>
    <n v="36"/>
    <d v="2025-04-29T00:00:00"/>
    <x v="0"/>
    <n v="153815.32"/>
    <n v="0"/>
    <n v="153815.32"/>
    <n v="1"/>
  </r>
  <r>
    <n v="16"/>
    <n v="40080"/>
    <n v="114"/>
    <d v="2024-02-17T00:00:00"/>
    <x v="2"/>
    <n v="1411.96"/>
    <n v="0"/>
    <n v="1411.96"/>
    <n v="5"/>
  </r>
  <r>
    <n v="17"/>
    <n v="1505"/>
    <n v="95"/>
    <d v="2024-11-27T00:00:00"/>
    <x v="3"/>
    <n v="5366.61"/>
    <n v="0"/>
    <n v="5366.61"/>
    <n v="7"/>
  </r>
  <r>
    <n v="18"/>
    <n v="49598"/>
    <n v="5"/>
    <d v="2025-02-07T00:00:00"/>
    <x v="2"/>
    <n v="3843.72"/>
    <n v="0"/>
    <n v="3843.72"/>
    <n v="8"/>
  </r>
  <r>
    <n v="19"/>
    <n v="20766"/>
    <n v="146"/>
    <d v="2025-02-28T00:00:00"/>
    <x v="2"/>
    <n v="41892.910000000003"/>
    <n v="59.83"/>
    <n v="41833.08"/>
    <n v="2"/>
  </r>
  <r>
    <n v="20"/>
    <n v="36851"/>
    <n v="104"/>
    <d v="2026-02-02T00:00:00"/>
    <x v="2"/>
    <n v="28801.24"/>
    <n v="0"/>
    <n v="28801.24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99742-C1CC-9047-8A5B-D3F04CBA058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7:F28" firstHeaderRow="1" firstDataRow="1" firstDataCol="0"/>
  <pivotFields count="3">
    <pivotField dataField="1" showAll="0"/>
    <pivotField showAll="0"/>
    <pivotField showAll="0"/>
  </pivotFields>
  <rowItems count="1">
    <i/>
  </rowItems>
  <colItems count="1">
    <i/>
  </colItems>
  <dataFields count="1">
    <dataField name="Max of Filter" fld="0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77A28-1855-794A-8F20-7B03BDA4F851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E12:F13" firstHeaderRow="1" firstDataRow="1" firstDataCol="1"/>
  <pivotFields count="2">
    <pivotField axis="axisRow" showAll="0">
      <items count="5">
        <item x="0"/>
        <item m="1" x="1"/>
        <item m="1" x="2"/>
        <item m="1" x="3"/>
        <item t="default"/>
      </items>
    </pivotField>
    <pivotField dataField="1" showAll="0"/>
  </pivotFields>
  <rowFields count="1">
    <field x="0"/>
  </rowFields>
  <rowItems count="1">
    <i>
      <x/>
    </i>
  </rowItems>
  <colItems count="1">
    <i/>
  </colItems>
  <dataFields count="1">
    <dataField name="Sum of Sales_in_million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A3E92-67D0-A847-9C46-2FA76A2F90D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87:F93" firstHeaderRow="0" firstDataRow="1" firstDataCol="1"/>
  <pivotFields count="9">
    <pivotField showAll="0"/>
    <pivotField showAll="0"/>
    <pivotField showAll="0"/>
    <pivotField dataField="1" numFmtId="14" showAll="0"/>
    <pivotField axis="axisRow" dataField="1" showAll="0">
      <items count="6">
        <item x="2"/>
        <item x="1"/>
        <item x="0"/>
        <item x="3"/>
        <item x="4"/>
        <item t="default"/>
      </items>
    </pivotField>
    <pivotField dataField="1"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date" fld="3" subtotal="count" baseField="0" baseItem="0"/>
    <dataField name="Count of order_status" fld="4" subtotal="count" baseField="0" baseItem="0"/>
    <dataField name="Sum of gross_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7AC3A-5F42-EF48-A52B-FC82AB433DE0}" name="Table1" displayName="Table1" ref="I67:M79" totalsRowShown="0">
  <autoFilter ref="I67:M79" xr:uid="{3CF7AC3A-5F42-EF48-A52B-FC82AB433DE0}"/>
  <tableColumns count="5">
    <tableColumn id="1" xr3:uid="{6D6DB51D-16FE-5A42-966B-22D3B6FB2EEC}" name="Student_id"/>
    <tableColumn id="2" xr3:uid="{F1607987-4049-D149-AB53-6369820C76A7}" name="Column2"/>
    <tableColumn id="3" xr3:uid="{86AE4211-B9CF-1240-80C4-1BAD3EAB3AEF}" name="Column3"/>
    <tableColumn id="4" xr3:uid="{61DFAD3D-3AB7-114F-A2F9-1CC2946365B4}" name="Column4"/>
    <tableColumn id="5" xr3:uid="{1192BE98-3F1F-5849-AEA8-B2AF03CE16F9}" name="Column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76859-1DA6-AF47-AF07-C212E1373F85}" name="Table2" displayName="Table2" ref="B12:C16" totalsRowShown="0">
  <autoFilter ref="B12:C16" xr:uid="{73F76859-1DA6-AF47-AF07-C212E1373F85}"/>
  <tableColumns count="2">
    <tableColumn id="1" xr3:uid="{E87BF062-74C8-A845-9BAB-8A0A6B64D836}" name="Year"/>
    <tableColumn id="2" xr3:uid="{3CEE1076-D3E6-7944-BBA6-CB763F34E73B}" name="Sales_in_mill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72FEF8-F1F5-FC40-A4BE-267BB80EB6FA}" name="orders" displayName="orders" ref="C63:K83" totalsRowShown="0">
  <autoFilter ref="C63:K83" xr:uid="{D172FEF8-F1F5-FC40-A4BE-267BB80EB6FA}"/>
  <tableColumns count="9">
    <tableColumn id="1" xr3:uid="{19AB267A-7B33-E84C-8272-7E36D0554C68}" name="order_id"/>
    <tableColumn id="2" xr3:uid="{D4A4DEFF-02CA-5F4C-8F46-BF92BBD1BDAE}" name="cust_id"/>
    <tableColumn id="3" xr3:uid="{34815055-8042-EF48-9C05-425557C4C71A}" name="store_id"/>
    <tableColumn id="4" xr3:uid="{6258CA39-F442-A54F-96F1-67AD0D669504}" name="order_date" dataDxfId="0"/>
    <tableColumn id="5" xr3:uid="{53335D62-EE39-0640-B415-702285987AB3}" name="order_status"/>
    <tableColumn id="6" xr3:uid="{13E6AC5E-DC00-6A4C-81FB-F493C52DB293}" name="gross_total"/>
    <tableColumn id="7" xr3:uid="{B859F406-9C97-BE44-83EA-DF9DDF73AB93}" name="discount_amount"/>
    <tableColumn id="8" xr3:uid="{838CC065-0FA1-C24F-B72E-33E4C6179F9F}" name="net_total"/>
    <tableColumn id="9" xr3:uid="{BAAA1C0A-39C2-654C-A5CE-A20ACBA841A5}" name="payment_mode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65BB-409F-2D4A-878A-16A428CDBD0A}">
  <dimension ref="B2:L45"/>
  <sheetViews>
    <sheetView topLeftCell="A34" zoomScale="200" zoomScaleNormal="200" workbookViewId="0">
      <selection activeCell="H40" sqref="H40"/>
    </sheetView>
  </sheetViews>
  <sheetFormatPr baseColWidth="10" defaultRowHeight="16" x14ac:dyDescent="0.2"/>
  <cols>
    <col min="2" max="2" width="10.33203125" bestFit="1" customWidth="1"/>
    <col min="3" max="3" width="4.33203125" customWidth="1"/>
    <col min="4" max="4" width="11.1640625" customWidth="1"/>
    <col min="5" max="5" width="4" customWidth="1"/>
    <col min="6" max="6" width="30.83203125" bestFit="1" customWidth="1"/>
    <col min="7" max="7" width="3.1640625" customWidth="1"/>
    <col min="8" max="8" width="11.1640625" bestFit="1" customWidth="1"/>
    <col min="9" max="9" width="7.6640625" bestFit="1" customWidth="1"/>
    <col min="10" max="10" width="13" bestFit="1" customWidth="1"/>
  </cols>
  <sheetData>
    <row r="2" spans="2:10" x14ac:dyDescent="0.2">
      <c r="B2" t="s">
        <v>0</v>
      </c>
      <c r="D2" t="s">
        <v>4</v>
      </c>
      <c r="F2" t="s">
        <v>8</v>
      </c>
      <c r="H2" t="s">
        <v>11</v>
      </c>
      <c r="J2" t="s">
        <v>0</v>
      </c>
    </row>
    <row r="4" spans="2:10" x14ac:dyDescent="0.2">
      <c r="B4" t="s">
        <v>1</v>
      </c>
      <c r="D4" t="s">
        <v>5</v>
      </c>
      <c r="F4" t="s">
        <v>9</v>
      </c>
      <c r="H4" t="s">
        <v>12</v>
      </c>
      <c r="J4" t="s">
        <v>14</v>
      </c>
    </row>
    <row r="6" spans="2:10" x14ac:dyDescent="0.2">
      <c r="B6" t="s">
        <v>2</v>
      </c>
      <c r="D6" t="s">
        <v>6</v>
      </c>
      <c r="F6" t="s">
        <v>10</v>
      </c>
      <c r="H6" t="s">
        <v>6</v>
      </c>
    </row>
    <row r="8" spans="2:10" x14ac:dyDescent="0.2">
      <c r="B8" t="s">
        <v>3</v>
      </c>
      <c r="D8" t="s">
        <v>7</v>
      </c>
      <c r="F8" t="s">
        <v>7</v>
      </c>
      <c r="H8" t="s">
        <v>13</v>
      </c>
      <c r="J8" t="s">
        <v>15</v>
      </c>
    </row>
    <row r="11" spans="2:10" x14ac:dyDescent="0.2">
      <c r="B11" s="1"/>
      <c r="C11" s="1"/>
      <c r="D11" s="1"/>
      <c r="F11" s="1"/>
      <c r="I11" s="1"/>
      <c r="J11" s="1"/>
    </row>
    <row r="12" spans="2:10" x14ac:dyDescent="0.2">
      <c r="B12" s="1"/>
      <c r="C12" s="1"/>
      <c r="D12" s="1"/>
      <c r="F12" s="1"/>
      <c r="I12" s="1"/>
      <c r="J12" s="1"/>
    </row>
    <row r="13" spans="2:10" x14ac:dyDescent="0.2">
      <c r="B13" s="1"/>
      <c r="C13" s="1"/>
      <c r="D13" s="1"/>
      <c r="F13" s="1"/>
      <c r="I13" s="1"/>
      <c r="J13" s="1"/>
    </row>
    <row r="14" spans="2:10" x14ac:dyDescent="0.2">
      <c r="B14" s="1"/>
      <c r="C14" s="1"/>
      <c r="D14" s="1"/>
      <c r="F14" s="1"/>
      <c r="I14" s="1"/>
      <c r="J14" s="1"/>
    </row>
    <row r="15" spans="2:10" x14ac:dyDescent="0.2">
      <c r="B15" s="1"/>
      <c r="C15" s="1"/>
      <c r="D15" s="1"/>
      <c r="F15" s="1"/>
      <c r="I15" s="1"/>
      <c r="J15" s="1"/>
    </row>
    <row r="16" spans="2:10" x14ac:dyDescent="0.2">
      <c r="B16" s="1"/>
      <c r="C16" s="1"/>
      <c r="D16" s="1"/>
    </row>
    <row r="20" spans="2:12" x14ac:dyDescent="0.2">
      <c r="B20" t="s">
        <v>16</v>
      </c>
      <c r="F20" t="s">
        <v>18</v>
      </c>
    </row>
    <row r="22" spans="2:12" x14ac:dyDescent="0.2">
      <c r="B22" t="s">
        <v>17</v>
      </c>
      <c r="F22" t="s">
        <v>19</v>
      </c>
    </row>
    <row r="25" spans="2:12" x14ac:dyDescent="0.2">
      <c r="B25" t="s">
        <v>20</v>
      </c>
    </row>
    <row r="27" spans="2:12" x14ac:dyDescent="0.2">
      <c r="C27" t="s">
        <v>16</v>
      </c>
      <c r="F27" t="s">
        <v>26</v>
      </c>
      <c r="H27" t="s">
        <v>27</v>
      </c>
      <c r="J27" t="s">
        <v>28</v>
      </c>
      <c r="L27" t="s">
        <v>29</v>
      </c>
    </row>
    <row r="29" spans="2:12" x14ac:dyDescent="0.2">
      <c r="C29" t="s">
        <v>21</v>
      </c>
    </row>
    <row r="31" spans="2:12" x14ac:dyDescent="0.2">
      <c r="C31" t="s">
        <v>22</v>
      </c>
    </row>
    <row r="33" spans="2:12" x14ac:dyDescent="0.2">
      <c r="C33" t="s">
        <v>23</v>
      </c>
    </row>
    <row r="35" spans="2:12" x14ac:dyDescent="0.2">
      <c r="C35" t="s">
        <v>24</v>
      </c>
    </row>
    <row r="37" spans="2:12" x14ac:dyDescent="0.2">
      <c r="C37" t="s">
        <v>25</v>
      </c>
    </row>
    <row r="40" spans="2:12" x14ac:dyDescent="0.2">
      <c r="B40" t="s">
        <v>30</v>
      </c>
      <c r="H40" t="s">
        <v>4</v>
      </c>
      <c r="K40" t="s">
        <v>37</v>
      </c>
    </row>
    <row r="42" spans="2:12" x14ac:dyDescent="0.2">
      <c r="C42" t="s">
        <v>31</v>
      </c>
      <c r="E42" t="s">
        <v>33</v>
      </c>
      <c r="I42" t="s">
        <v>35</v>
      </c>
      <c r="K42" t="s">
        <v>3</v>
      </c>
    </row>
    <row r="43" spans="2:12" x14ac:dyDescent="0.2">
      <c r="E43" t="s">
        <v>34</v>
      </c>
      <c r="J43" t="s">
        <v>36</v>
      </c>
      <c r="L43" t="s">
        <v>38</v>
      </c>
    </row>
    <row r="44" spans="2:12" x14ac:dyDescent="0.2">
      <c r="L44" t="s">
        <v>39</v>
      </c>
    </row>
    <row r="45" spans="2:12" x14ac:dyDescent="0.2">
      <c r="C45" t="s">
        <v>32</v>
      </c>
      <c r="L45" t="s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BE9F-6251-054D-8156-7574F8262F96}">
  <dimension ref="B2:M88"/>
  <sheetViews>
    <sheetView topLeftCell="A72" zoomScale="200" zoomScaleNormal="200" workbookViewId="0">
      <selection activeCell="G84" sqref="G84"/>
    </sheetView>
  </sheetViews>
  <sheetFormatPr baseColWidth="10" defaultRowHeight="16" x14ac:dyDescent="0.2"/>
  <sheetData>
    <row r="2" spans="2:5" x14ac:dyDescent="0.2">
      <c r="B2" t="s">
        <v>41</v>
      </c>
    </row>
    <row r="4" spans="2:5" x14ac:dyDescent="0.2">
      <c r="B4">
        <v>1</v>
      </c>
      <c r="C4" t="s">
        <v>42</v>
      </c>
      <c r="E4" t="s">
        <v>43</v>
      </c>
    </row>
    <row r="5" spans="2:5" x14ac:dyDescent="0.2">
      <c r="B5">
        <v>2</v>
      </c>
      <c r="C5" t="s">
        <v>44</v>
      </c>
    </row>
    <row r="6" spans="2:5" x14ac:dyDescent="0.2">
      <c r="B6">
        <v>3</v>
      </c>
      <c r="C6" t="s">
        <v>45</v>
      </c>
    </row>
    <row r="7" spans="2:5" x14ac:dyDescent="0.2">
      <c r="B7">
        <v>4</v>
      </c>
      <c r="C7" t="s">
        <v>46</v>
      </c>
    </row>
    <row r="8" spans="2:5" x14ac:dyDescent="0.2">
      <c r="B8">
        <v>5</v>
      </c>
      <c r="C8" t="s">
        <v>47</v>
      </c>
    </row>
    <row r="9" spans="2:5" x14ac:dyDescent="0.2">
      <c r="B9">
        <v>6</v>
      </c>
      <c r="C9" t="s">
        <v>48</v>
      </c>
    </row>
    <row r="10" spans="2:5" x14ac:dyDescent="0.2">
      <c r="B10">
        <v>7</v>
      </c>
      <c r="C10" t="s">
        <v>49</v>
      </c>
    </row>
    <row r="11" spans="2:5" x14ac:dyDescent="0.2">
      <c r="B11">
        <v>8</v>
      </c>
      <c r="C11" t="s">
        <v>50</v>
      </c>
    </row>
    <row r="12" spans="2:5" x14ac:dyDescent="0.2">
      <c r="B12">
        <v>9</v>
      </c>
      <c r="C12" t="s">
        <v>51</v>
      </c>
    </row>
    <row r="13" spans="2:5" x14ac:dyDescent="0.2">
      <c r="B13">
        <v>10</v>
      </c>
      <c r="C13" t="s">
        <v>52</v>
      </c>
    </row>
    <row r="14" spans="2:5" x14ac:dyDescent="0.2">
      <c r="B14">
        <v>11</v>
      </c>
      <c r="C14" t="s">
        <v>53</v>
      </c>
    </row>
    <row r="15" spans="2:5" x14ac:dyDescent="0.2">
      <c r="B15">
        <v>12</v>
      </c>
      <c r="C15" t="s">
        <v>54</v>
      </c>
    </row>
    <row r="34" spans="2:3" x14ac:dyDescent="0.2">
      <c r="B34">
        <v>13</v>
      </c>
      <c r="C34" t="s">
        <v>55</v>
      </c>
    </row>
    <row r="35" spans="2:3" x14ac:dyDescent="0.2">
      <c r="B35">
        <v>14</v>
      </c>
      <c r="C35" t="s">
        <v>56</v>
      </c>
    </row>
    <row r="36" spans="2:3" x14ac:dyDescent="0.2">
      <c r="B36">
        <v>15</v>
      </c>
      <c r="C36" t="s">
        <v>57</v>
      </c>
    </row>
    <row r="37" spans="2:3" x14ac:dyDescent="0.2">
      <c r="B37">
        <v>16</v>
      </c>
      <c r="C37" t="s">
        <v>58</v>
      </c>
    </row>
    <row r="38" spans="2:3" x14ac:dyDescent="0.2">
      <c r="B38">
        <v>17</v>
      </c>
      <c r="C38" t="s">
        <v>59</v>
      </c>
    </row>
    <row r="39" spans="2:3" x14ac:dyDescent="0.2">
      <c r="B39">
        <v>18</v>
      </c>
      <c r="C39" t="s">
        <v>60</v>
      </c>
    </row>
    <row r="40" spans="2:3" x14ac:dyDescent="0.2">
      <c r="B40">
        <v>19</v>
      </c>
      <c r="C40" t="s">
        <v>61</v>
      </c>
    </row>
    <row r="41" spans="2:3" x14ac:dyDescent="0.2">
      <c r="B41">
        <v>20</v>
      </c>
      <c r="C41" t="s">
        <v>62</v>
      </c>
    </row>
    <row r="42" spans="2:3" x14ac:dyDescent="0.2">
      <c r="B42">
        <v>21</v>
      </c>
      <c r="C42" t="s">
        <v>63</v>
      </c>
    </row>
    <row r="51" spans="2:12" x14ac:dyDescent="0.2">
      <c r="D51" t="s">
        <v>4</v>
      </c>
    </row>
    <row r="52" spans="2:12" ht="17" thickBot="1" x14ac:dyDescent="0.25">
      <c r="B52" t="s">
        <v>67</v>
      </c>
      <c r="D52" t="s">
        <v>67</v>
      </c>
      <c r="F52" t="s">
        <v>67</v>
      </c>
    </row>
    <row r="53" spans="2:12" x14ac:dyDescent="0.2">
      <c r="B53" s="2" t="s">
        <v>64</v>
      </c>
      <c r="C53" s="4"/>
      <c r="D53" s="2" t="s">
        <v>65</v>
      </c>
      <c r="E53" s="4"/>
      <c r="F53" s="3" t="s">
        <v>66</v>
      </c>
      <c r="G53" s="4"/>
      <c r="I53" s="2"/>
      <c r="J53" s="3"/>
      <c r="K53" s="3"/>
      <c r="L53" s="4"/>
    </row>
    <row r="54" spans="2:12" x14ac:dyDescent="0.2">
      <c r="B54" s="5"/>
      <c r="C54" s="6"/>
      <c r="D54" s="5"/>
      <c r="E54" s="6"/>
      <c r="G54" s="6"/>
      <c r="I54" s="5"/>
      <c r="L54" s="6"/>
    </row>
    <row r="55" spans="2:12" x14ac:dyDescent="0.2">
      <c r="B55" s="5"/>
      <c r="C55" s="6"/>
      <c r="D55" s="5"/>
      <c r="E55" s="6"/>
      <c r="G55" s="6"/>
      <c r="I55" s="5"/>
      <c r="L55" s="6"/>
    </row>
    <row r="56" spans="2:12" x14ac:dyDescent="0.2">
      <c r="B56" s="5"/>
      <c r="C56" s="6"/>
      <c r="D56" s="5"/>
      <c r="E56" s="6"/>
      <c r="G56" s="6"/>
      <c r="I56" s="5"/>
      <c r="L56" s="6"/>
    </row>
    <row r="57" spans="2:12" x14ac:dyDescent="0.2">
      <c r="B57" s="5"/>
      <c r="C57" s="6"/>
      <c r="D57" s="5"/>
      <c r="E57" s="6"/>
      <c r="G57" s="6"/>
      <c r="I57" s="5"/>
      <c r="L57" s="6"/>
    </row>
    <row r="58" spans="2:12" x14ac:dyDescent="0.2">
      <c r="B58" s="5"/>
      <c r="C58" s="6"/>
      <c r="D58" s="5"/>
      <c r="E58" s="6"/>
      <c r="G58" s="6"/>
      <c r="I58" s="5"/>
      <c r="L58" s="6"/>
    </row>
    <row r="59" spans="2:12" x14ac:dyDescent="0.2">
      <c r="B59" s="5"/>
      <c r="C59" s="6"/>
      <c r="D59" s="5"/>
      <c r="E59" s="6"/>
      <c r="G59" s="6"/>
      <c r="I59" s="5"/>
      <c r="L59" s="6"/>
    </row>
    <row r="60" spans="2:12" x14ac:dyDescent="0.2">
      <c r="B60" s="5"/>
      <c r="C60" s="6"/>
      <c r="D60" s="5"/>
      <c r="E60" s="6"/>
      <c r="G60" s="6"/>
      <c r="I60" s="5"/>
      <c r="L60" s="6"/>
    </row>
    <row r="61" spans="2:12" x14ac:dyDescent="0.2">
      <c r="B61" s="5"/>
      <c r="C61" s="6"/>
      <c r="D61" s="5"/>
      <c r="E61" s="6"/>
      <c r="G61" s="6"/>
      <c r="I61" s="5"/>
      <c r="L61" s="6"/>
    </row>
    <row r="62" spans="2:12" x14ac:dyDescent="0.2">
      <c r="B62" s="5"/>
      <c r="C62" s="6"/>
      <c r="D62" s="5"/>
      <c r="E62" s="6"/>
      <c r="G62" s="6"/>
      <c r="I62" s="5"/>
      <c r="L62" s="6"/>
    </row>
    <row r="63" spans="2:12" ht="17" thickBot="1" x14ac:dyDescent="0.25">
      <c r="B63" s="5"/>
      <c r="C63" s="6"/>
      <c r="D63" s="5"/>
      <c r="E63" s="6"/>
      <c r="G63" s="6"/>
      <c r="I63" s="7"/>
      <c r="J63" s="8"/>
      <c r="K63" s="8"/>
      <c r="L63" s="9"/>
    </row>
    <row r="64" spans="2:12" x14ac:dyDescent="0.2">
      <c r="B64" s="5"/>
      <c r="C64" s="6"/>
      <c r="D64" s="5"/>
      <c r="E64" s="6"/>
      <c r="G64" s="6"/>
    </row>
    <row r="65" spans="2:13" x14ac:dyDescent="0.2">
      <c r="B65" s="5"/>
      <c r="C65" s="6"/>
      <c r="D65" s="5"/>
      <c r="E65" s="6"/>
      <c r="G65" s="6"/>
    </row>
    <row r="66" spans="2:13" x14ac:dyDescent="0.2">
      <c r="B66" s="5"/>
      <c r="C66" s="6"/>
      <c r="D66" s="5"/>
      <c r="E66" s="6"/>
      <c r="G66" s="6"/>
    </row>
    <row r="67" spans="2:13" x14ac:dyDescent="0.2">
      <c r="B67" s="5"/>
      <c r="C67" s="6"/>
      <c r="D67" s="5"/>
      <c r="E67" s="6"/>
      <c r="G67" s="6"/>
      <c r="I67" t="s">
        <v>72</v>
      </c>
      <c r="J67" t="s">
        <v>68</v>
      </c>
      <c r="K67" t="s">
        <v>69</v>
      </c>
      <c r="L67" t="s">
        <v>70</v>
      </c>
      <c r="M67" t="s">
        <v>71</v>
      </c>
    </row>
    <row r="68" spans="2:13" x14ac:dyDescent="0.2">
      <c r="B68" s="5"/>
      <c r="C68" s="6"/>
      <c r="D68" s="5"/>
      <c r="E68" s="6"/>
      <c r="G68" s="6"/>
      <c r="I68">
        <v>1</v>
      </c>
    </row>
    <row r="69" spans="2:13" x14ac:dyDescent="0.2">
      <c r="B69" s="5"/>
      <c r="C69" s="6"/>
      <c r="D69" s="5"/>
      <c r="E69" s="6"/>
      <c r="G69" s="6"/>
      <c r="I69">
        <v>2</v>
      </c>
    </row>
    <row r="70" spans="2:13" ht="17" thickBot="1" x14ac:dyDescent="0.25">
      <c r="B70" s="7"/>
      <c r="C70" s="9"/>
      <c r="D70" s="7"/>
      <c r="E70" s="9"/>
      <c r="F70" s="8"/>
      <c r="G70" s="9"/>
      <c r="I70">
        <v>3</v>
      </c>
    </row>
    <row r="71" spans="2:13" x14ac:dyDescent="0.2">
      <c r="I71" t="s">
        <v>73</v>
      </c>
    </row>
    <row r="83" spans="3:5" x14ac:dyDescent="0.2">
      <c r="C83" t="s">
        <v>74</v>
      </c>
    </row>
    <row r="84" spans="3:5" x14ac:dyDescent="0.2">
      <c r="D84" t="s">
        <v>75</v>
      </c>
    </row>
    <row r="85" spans="3:5" x14ac:dyDescent="0.2">
      <c r="E85" t="s">
        <v>78</v>
      </c>
    </row>
    <row r="86" spans="3:5" x14ac:dyDescent="0.2">
      <c r="E86" t="s">
        <v>78</v>
      </c>
    </row>
    <row r="87" spans="3:5" x14ac:dyDescent="0.2">
      <c r="D87" t="s">
        <v>76</v>
      </c>
    </row>
    <row r="88" spans="3:5" x14ac:dyDescent="0.2">
      <c r="D88" t="s">
        <v>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9670-8500-C04D-8187-E33F775B1305}">
  <dimension ref="B2:K24"/>
  <sheetViews>
    <sheetView topLeftCell="A5" zoomScale="200" zoomScaleNormal="200" workbookViewId="0">
      <selection activeCell="G19" sqref="G19"/>
    </sheetView>
  </sheetViews>
  <sheetFormatPr baseColWidth="10" defaultRowHeight="16" x14ac:dyDescent="0.2"/>
  <cols>
    <col min="3" max="3" width="23" bestFit="1" customWidth="1"/>
    <col min="7" max="7" width="22.1640625" bestFit="1" customWidth="1"/>
    <col min="8" max="8" width="12.1640625" bestFit="1" customWidth="1"/>
    <col min="10" max="10" width="22.1640625" bestFit="1" customWidth="1"/>
  </cols>
  <sheetData>
    <row r="2" spans="2:11" x14ac:dyDescent="0.2">
      <c r="B2" t="s">
        <v>79</v>
      </c>
      <c r="C2" t="s">
        <v>80</v>
      </c>
      <c r="G2" t="s">
        <v>85</v>
      </c>
      <c r="J2" t="s">
        <v>85</v>
      </c>
    </row>
    <row r="3" spans="2:11" x14ac:dyDescent="0.2">
      <c r="B3">
        <v>1</v>
      </c>
      <c r="C3" t="s">
        <v>81</v>
      </c>
      <c r="G3" t="s">
        <v>86</v>
      </c>
      <c r="J3" t="s">
        <v>86</v>
      </c>
    </row>
    <row r="4" spans="2:11" x14ac:dyDescent="0.2">
      <c r="B4">
        <v>2</v>
      </c>
      <c r="C4" t="s">
        <v>82</v>
      </c>
      <c r="E4" t="s">
        <v>84</v>
      </c>
      <c r="J4" t="s">
        <v>87</v>
      </c>
    </row>
    <row r="5" spans="2:11" x14ac:dyDescent="0.2">
      <c r="B5">
        <v>3</v>
      </c>
      <c r="C5" t="s">
        <v>83</v>
      </c>
      <c r="G5" t="s">
        <v>79</v>
      </c>
      <c r="H5" t="s">
        <v>80</v>
      </c>
    </row>
    <row r="6" spans="2:11" x14ac:dyDescent="0.2">
      <c r="B6">
        <v>4</v>
      </c>
      <c r="C6" t="s">
        <v>73</v>
      </c>
      <c r="G6">
        <v>1</v>
      </c>
      <c r="H6" t="s">
        <v>84</v>
      </c>
      <c r="J6" t="s">
        <v>79</v>
      </c>
      <c r="K6" t="s">
        <v>80</v>
      </c>
    </row>
    <row r="7" spans="2:11" x14ac:dyDescent="0.2">
      <c r="B7">
        <v>5</v>
      </c>
      <c r="C7" t="s">
        <v>82</v>
      </c>
      <c r="G7">
        <v>2</v>
      </c>
      <c r="H7" t="s">
        <v>84</v>
      </c>
      <c r="J7">
        <v>1</v>
      </c>
      <c r="K7" t="s">
        <v>81</v>
      </c>
    </row>
    <row r="8" spans="2:11" x14ac:dyDescent="0.2">
      <c r="G8">
        <v>3</v>
      </c>
      <c r="H8" t="s">
        <v>84</v>
      </c>
      <c r="J8">
        <v>2</v>
      </c>
      <c r="K8" t="s">
        <v>84</v>
      </c>
    </row>
    <row r="9" spans="2:11" x14ac:dyDescent="0.2">
      <c r="G9">
        <v>4</v>
      </c>
      <c r="H9" t="s">
        <v>84</v>
      </c>
      <c r="J9">
        <v>3</v>
      </c>
      <c r="K9" t="s">
        <v>83</v>
      </c>
    </row>
    <row r="10" spans="2:11" x14ac:dyDescent="0.2">
      <c r="J10">
        <v>4</v>
      </c>
      <c r="K10" t="s">
        <v>73</v>
      </c>
    </row>
    <row r="11" spans="2:11" x14ac:dyDescent="0.2">
      <c r="G11" t="s">
        <v>88</v>
      </c>
    </row>
    <row r="13" spans="2:11" x14ac:dyDescent="0.2">
      <c r="C13" s="11">
        <v>0</v>
      </c>
      <c r="G13" t="s">
        <v>79</v>
      </c>
      <c r="H13" t="s">
        <v>80</v>
      </c>
      <c r="J13" t="s">
        <v>88</v>
      </c>
    </row>
    <row r="14" spans="2:11" x14ac:dyDescent="0.2">
      <c r="C14" s="11">
        <v>1</v>
      </c>
      <c r="J14" t="s">
        <v>89</v>
      </c>
    </row>
    <row r="16" spans="2:11" x14ac:dyDescent="0.2">
      <c r="J16" t="s">
        <v>79</v>
      </c>
      <c r="K16" t="s">
        <v>80</v>
      </c>
    </row>
    <row r="17" spans="3:11" x14ac:dyDescent="0.2">
      <c r="C17" s="11">
        <v>2958465</v>
      </c>
      <c r="J17">
        <v>1</v>
      </c>
      <c r="K17" t="s">
        <v>81</v>
      </c>
    </row>
    <row r="18" spans="3:11" x14ac:dyDescent="0.2">
      <c r="C18" s="11">
        <v>2958466</v>
      </c>
      <c r="E18" t="s">
        <v>90</v>
      </c>
      <c r="F18" s="13">
        <v>1</v>
      </c>
      <c r="J18">
        <v>3</v>
      </c>
      <c r="K18" t="s">
        <v>83</v>
      </c>
    </row>
    <row r="19" spans="3:11" x14ac:dyDescent="0.2">
      <c r="E19" t="s">
        <v>91</v>
      </c>
      <c r="F19" s="13">
        <v>36509</v>
      </c>
      <c r="J19">
        <v>4</v>
      </c>
      <c r="K19" t="s">
        <v>73</v>
      </c>
    </row>
    <row r="20" spans="3:11" x14ac:dyDescent="0.2">
      <c r="E20" s="10">
        <v>36526</v>
      </c>
      <c r="F20" s="13">
        <v>36526</v>
      </c>
    </row>
    <row r="22" spans="3:11" x14ac:dyDescent="0.2">
      <c r="F22" s="13"/>
      <c r="I22">
        <v>15000</v>
      </c>
      <c r="J22">
        <v>15000</v>
      </c>
    </row>
    <row r="23" spans="3:11" x14ac:dyDescent="0.2">
      <c r="I23" s="12" t="s">
        <v>92</v>
      </c>
    </row>
    <row r="24" spans="3:11" x14ac:dyDescent="0.2">
      <c r="I24">
        <f>SUM(I22:I23)</f>
        <v>15000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73D4-75B2-7749-966F-860FE7D5D019}">
  <dimension ref="B2:V124"/>
  <sheetViews>
    <sheetView topLeftCell="A118" zoomScale="200" zoomScaleNormal="200" workbookViewId="0">
      <selection activeCell="H137" sqref="H137"/>
    </sheetView>
  </sheetViews>
  <sheetFormatPr baseColWidth="10" defaultRowHeight="16" x14ac:dyDescent="0.2"/>
  <cols>
    <col min="2" max="2" width="13.33203125" bestFit="1" customWidth="1"/>
    <col min="3" max="3" width="12.5" customWidth="1"/>
    <col min="4" max="4" width="9.33203125" customWidth="1"/>
    <col min="5" max="5" width="13.83203125" customWidth="1"/>
    <col min="7" max="7" width="7.83203125" bestFit="1" customWidth="1"/>
    <col min="8" max="8" width="17.83203125" bestFit="1" customWidth="1"/>
    <col min="10" max="10" width="45.6640625" bestFit="1" customWidth="1"/>
    <col min="14" max="14" width="14.83203125" bestFit="1" customWidth="1"/>
  </cols>
  <sheetData>
    <row r="2" spans="2:13" x14ac:dyDescent="0.2">
      <c r="B2" t="s">
        <v>93</v>
      </c>
      <c r="D2" t="s">
        <v>94</v>
      </c>
      <c r="F2" t="s">
        <v>95</v>
      </c>
      <c r="H2" t="s">
        <v>96</v>
      </c>
    </row>
    <row r="4" spans="2:13" x14ac:dyDescent="0.2">
      <c r="B4" t="s">
        <v>97</v>
      </c>
      <c r="D4" t="s">
        <v>102</v>
      </c>
      <c r="F4" t="s">
        <v>105</v>
      </c>
      <c r="H4" t="s">
        <v>110</v>
      </c>
      <c r="J4" t="s">
        <v>147</v>
      </c>
    </row>
    <row r="5" spans="2:13" x14ac:dyDescent="0.2">
      <c r="B5" t="s">
        <v>98</v>
      </c>
      <c r="D5" t="s">
        <v>103</v>
      </c>
      <c r="F5" t="s">
        <v>106</v>
      </c>
      <c r="H5" t="s">
        <v>111</v>
      </c>
    </row>
    <row r="6" spans="2:13" x14ac:dyDescent="0.2">
      <c r="B6" t="s">
        <v>99</v>
      </c>
      <c r="D6" t="s">
        <v>104</v>
      </c>
      <c r="F6" t="s">
        <v>107</v>
      </c>
      <c r="H6" t="s">
        <v>112</v>
      </c>
    </row>
    <row r="7" spans="2:13" x14ac:dyDescent="0.2">
      <c r="B7" t="s">
        <v>100</v>
      </c>
      <c r="F7" t="s">
        <v>108</v>
      </c>
      <c r="H7" t="s">
        <v>146</v>
      </c>
      <c r="J7" t="s">
        <v>148</v>
      </c>
    </row>
    <row r="8" spans="2:13" x14ac:dyDescent="0.2">
      <c r="B8" t="s">
        <v>101</v>
      </c>
      <c r="F8" t="s">
        <v>109</v>
      </c>
      <c r="H8" t="s">
        <v>149</v>
      </c>
    </row>
    <row r="12" spans="2:13" x14ac:dyDescent="0.2">
      <c r="B12" t="s">
        <v>113</v>
      </c>
      <c r="C12" t="s">
        <v>114</v>
      </c>
      <c r="D12" t="s">
        <v>117</v>
      </c>
      <c r="F12" t="s">
        <v>119</v>
      </c>
    </row>
    <row r="13" spans="2:13" x14ac:dyDescent="0.2">
      <c r="B13" t="s">
        <v>115</v>
      </c>
      <c r="C13" t="s">
        <v>116</v>
      </c>
      <c r="D13" t="s">
        <v>118</v>
      </c>
      <c r="F13" t="s">
        <v>120</v>
      </c>
    </row>
    <row r="16" spans="2:13" x14ac:dyDescent="0.2">
      <c r="B16" t="s">
        <v>121</v>
      </c>
      <c r="C16" t="s">
        <v>122</v>
      </c>
      <c r="M16" t="s">
        <v>158</v>
      </c>
    </row>
    <row r="17" spans="2:22" x14ac:dyDescent="0.2">
      <c r="H17" t="s">
        <v>98</v>
      </c>
      <c r="K17" t="s">
        <v>127</v>
      </c>
      <c r="M17" t="s">
        <v>156</v>
      </c>
    </row>
    <row r="18" spans="2:22" x14ac:dyDescent="0.2">
      <c r="B18" t="s">
        <v>123</v>
      </c>
      <c r="D18" t="s">
        <v>125</v>
      </c>
      <c r="H18" t="s">
        <v>79</v>
      </c>
      <c r="I18" t="s">
        <v>80</v>
      </c>
      <c r="K18" t="s">
        <v>79</v>
      </c>
      <c r="L18" t="s">
        <v>80</v>
      </c>
      <c r="M18" t="s">
        <v>155</v>
      </c>
    </row>
    <row r="19" spans="2:22" x14ac:dyDescent="0.2">
      <c r="B19" t="s">
        <v>124</v>
      </c>
      <c r="D19" t="s">
        <v>126</v>
      </c>
      <c r="F19" t="s">
        <v>73</v>
      </c>
      <c r="H19" t="s">
        <v>128</v>
      </c>
      <c r="I19" t="s">
        <v>73</v>
      </c>
      <c r="K19">
        <v>1</v>
      </c>
      <c r="L19" t="s">
        <v>73</v>
      </c>
      <c r="M19" t="s">
        <v>159</v>
      </c>
    </row>
    <row r="22" spans="2:22" x14ac:dyDescent="0.2">
      <c r="L22" t="s">
        <v>135</v>
      </c>
    </row>
    <row r="23" spans="2:22" x14ac:dyDescent="0.2">
      <c r="B23" t="s">
        <v>129</v>
      </c>
      <c r="C23" t="s">
        <v>130</v>
      </c>
      <c r="D23" t="s">
        <v>131</v>
      </c>
      <c r="F23" t="s">
        <v>132</v>
      </c>
    </row>
    <row r="24" spans="2:22" ht="17" thickBot="1" x14ac:dyDescent="0.25"/>
    <row r="25" spans="2:22" ht="17" thickBot="1" x14ac:dyDescent="0.25">
      <c r="F25" s="17"/>
      <c r="G25" s="18"/>
      <c r="H25" s="18"/>
      <c r="I25" s="19"/>
      <c r="J25" s="20"/>
      <c r="L25" t="s">
        <v>102</v>
      </c>
      <c r="N25" t="s">
        <v>133</v>
      </c>
      <c r="O25">
        <v>7</v>
      </c>
      <c r="P25" t="s">
        <v>140</v>
      </c>
      <c r="V25" t="s">
        <v>142</v>
      </c>
    </row>
    <row r="26" spans="2:22" ht="17" thickBot="1" x14ac:dyDescent="0.25"/>
    <row r="27" spans="2:22" ht="17" thickBot="1" x14ac:dyDescent="0.25">
      <c r="B27" t="s">
        <v>129</v>
      </c>
      <c r="C27" t="s">
        <v>130</v>
      </c>
      <c r="D27" t="s">
        <v>131</v>
      </c>
      <c r="F27" t="s">
        <v>132</v>
      </c>
      <c r="O27" s="14" t="s">
        <v>136</v>
      </c>
      <c r="P27" s="15" t="s">
        <v>137</v>
      </c>
      <c r="Q27" s="15" t="s">
        <v>138</v>
      </c>
      <c r="R27" s="15" t="s">
        <v>31</v>
      </c>
      <c r="S27" s="15" t="s">
        <v>139</v>
      </c>
      <c r="T27" s="15" t="s">
        <v>141</v>
      </c>
      <c r="U27" s="16" t="s">
        <v>141</v>
      </c>
    </row>
    <row r="28" spans="2:22" ht="17" thickBot="1" x14ac:dyDescent="0.25"/>
    <row r="29" spans="2:22" ht="17" thickBot="1" x14ac:dyDescent="0.25">
      <c r="F29" s="17"/>
      <c r="G29" s="18"/>
      <c r="H29" s="18"/>
      <c r="I29" s="15"/>
      <c r="J29" s="16"/>
      <c r="L29" t="s">
        <v>103</v>
      </c>
      <c r="N29" t="s">
        <v>134</v>
      </c>
      <c r="O29">
        <v>7</v>
      </c>
    </row>
    <row r="30" spans="2:22" ht="17" thickBot="1" x14ac:dyDescent="0.25"/>
    <row r="31" spans="2:22" ht="17" thickBot="1" x14ac:dyDescent="0.25">
      <c r="O31" s="14" t="s">
        <v>136</v>
      </c>
      <c r="P31" s="15" t="s">
        <v>137</v>
      </c>
      <c r="Q31" s="15" t="s">
        <v>138</v>
      </c>
      <c r="R31" s="15" t="s">
        <v>31</v>
      </c>
      <c r="S31" s="16" t="s">
        <v>139</v>
      </c>
      <c r="V31" t="s">
        <v>143</v>
      </c>
    </row>
    <row r="32" spans="2:22" x14ac:dyDescent="0.2">
      <c r="B32" t="s">
        <v>160</v>
      </c>
    </row>
    <row r="33" spans="2:14" x14ac:dyDescent="0.2">
      <c r="B33" t="s">
        <v>98</v>
      </c>
      <c r="C33" t="s">
        <v>103</v>
      </c>
      <c r="L33" t="s">
        <v>144</v>
      </c>
      <c r="N33" t="s">
        <v>145</v>
      </c>
    </row>
    <row r="34" spans="2:14" x14ac:dyDescent="0.2">
      <c r="B34" t="s">
        <v>150</v>
      </c>
    </row>
    <row r="35" spans="2:14" x14ac:dyDescent="0.2">
      <c r="B35" t="s">
        <v>79</v>
      </c>
      <c r="C35" t="s">
        <v>80</v>
      </c>
    </row>
    <row r="36" spans="2:14" x14ac:dyDescent="0.2">
      <c r="B36">
        <v>1</v>
      </c>
      <c r="F36" t="s">
        <v>151</v>
      </c>
      <c r="G36" t="s">
        <v>152</v>
      </c>
      <c r="I36" t="s">
        <v>153</v>
      </c>
      <c r="K36" t="s">
        <v>154</v>
      </c>
    </row>
    <row r="41" spans="2:14" x14ac:dyDescent="0.2">
      <c r="B41" t="s">
        <v>160</v>
      </c>
      <c r="D41" t="s">
        <v>164</v>
      </c>
    </row>
    <row r="42" spans="2:14" x14ac:dyDescent="0.2">
      <c r="B42" t="s">
        <v>98</v>
      </c>
      <c r="C42" t="s">
        <v>103</v>
      </c>
      <c r="H42" t="s">
        <v>157</v>
      </c>
      <c r="I42" t="s">
        <v>161</v>
      </c>
    </row>
    <row r="43" spans="2:14" x14ac:dyDescent="0.2">
      <c r="B43" t="s">
        <v>79</v>
      </c>
      <c r="C43" t="s">
        <v>80</v>
      </c>
      <c r="D43" t="s">
        <v>163</v>
      </c>
    </row>
    <row r="44" spans="2:14" x14ac:dyDescent="0.2">
      <c r="B44">
        <v>1</v>
      </c>
      <c r="D44">
        <v>4</v>
      </c>
      <c r="E44" t="s">
        <v>152</v>
      </c>
      <c r="H44" t="s">
        <v>162</v>
      </c>
      <c r="I44" t="s">
        <v>162</v>
      </c>
    </row>
    <row r="45" spans="2:14" x14ac:dyDescent="0.2">
      <c r="B45" t="s">
        <v>157</v>
      </c>
    </row>
    <row r="46" spans="2:14" x14ac:dyDescent="0.2">
      <c r="B46" t="s">
        <v>157</v>
      </c>
    </row>
    <row r="48" spans="2:14" x14ac:dyDescent="0.2">
      <c r="D48" t="s">
        <v>165</v>
      </c>
    </row>
    <row r="49" spans="2:6" x14ac:dyDescent="0.2">
      <c r="D49" t="s">
        <v>166</v>
      </c>
    </row>
    <row r="52" spans="2:6" x14ac:dyDescent="0.2">
      <c r="D52" t="s">
        <v>167</v>
      </c>
    </row>
    <row r="53" spans="2:6" x14ac:dyDescent="0.2">
      <c r="F53" t="s">
        <v>168</v>
      </c>
    </row>
    <row r="54" spans="2:6" x14ac:dyDescent="0.2">
      <c r="F54" t="s">
        <v>169</v>
      </c>
    </row>
    <row r="55" spans="2:6" x14ac:dyDescent="0.2">
      <c r="F55" t="s">
        <v>170</v>
      </c>
    </row>
    <row r="56" spans="2:6" x14ac:dyDescent="0.2">
      <c r="F56" t="s">
        <v>171</v>
      </c>
    </row>
    <row r="59" spans="2:6" x14ac:dyDescent="0.2">
      <c r="B59" t="s">
        <v>172</v>
      </c>
    </row>
    <row r="60" spans="2:6" x14ac:dyDescent="0.2">
      <c r="B60" t="s">
        <v>173</v>
      </c>
    </row>
    <row r="61" spans="2:6" x14ac:dyDescent="0.2">
      <c r="B61" t="s">
        <v>174</v>
      </c>
    </row>
    <row r="62" spans="2:6" x14ac:dyDescent="0.2">
      <c r="B62" t="s">
        <v>175</v>
      </c>
    </row>
    <row r="63" spans="2:6" x14ac:dyDescent="0.2">
      <c r="B63" t="s">
        <v>176</v>
      </c>
    </row>
    <row r="65" spans="2:13" x14ac:dyDescent="0.2">
      <c r="B65" t="s">
        <v>16</v>
      </c>
    </row>
    <row r="66" spans="2:13" x14ac:dyDescent="0.2">
      <c r="C66" t="s">
        <v>177</v>
      </c>
      <c r="F66" t="s">
        <v>179</v>
      </c>
      <c r="H66" t="s">
        <v>180</v>
      </c>
      <c r="J66" t="s">
        <v>188</v>
      </c>
    </row>
    <row r="67" spans="2:13" x14ac:dyDescent="0.2">
      <c r="C67" t="s">
        <v>178</v>
      </c>
      <c r="K67" t="s">
        <v>181</v>
      </c>
      <c r="L67" t="s">
        <v>187</v>
      </c>
    </row>
    <row r="68" spans="2:13" x14ac:dyDescent="0.2">
      <c r="K68" t="s">
        <v>182</v>
      </c>
      <c r="M68" t="s">
        <v>186</v>
      </c>
    </row>
    <row r="69" spans="2:13" x14ac:dyDescent="0.2">
      <c r="K69" t="s">
        <v>183</v>
      </c>
      <c r="M69" t="s">
        <v>186</v>
      </c>
    </row>
    <row r="70" spans="2:13" x14ac:dyDescent="0.2">
      <c r="K70" t="s">
        <v>184</v>
      </c>
      <c r="M70" t="s">
        <v>186</v>
      </c>
    </row>
    <row r="71" spans="2:13" ht="17" thickBot="1" x14ac:dyDescent="0.25">
      <c r="B71" t="s">
        <v>195</v>
      </c>
      <c r="K71" t="s">
        <v>185</v>
      </c>
      <c r="M71" t="s">
        <v>186</v>
      </c>
    </row>
    <row r="72" spans="2:13" x14ac:dyDescent="0.2">
      <c r="C72" s="21" t="s">
        <v>196</v>
      </c>
      <c r="D72">
        <v>1</v>
      </c>
      <c r="E72">
        <v>1</v>
      </c>
      <c r="F72">
        <v>2</v>
      </c>
      <c r="G72">
        <v>2</v>
      </c>
      <c r="I72" t="s">
        <v>199</v>
      </c>
    </row>
    <row r="73" spans="2:13" ht="17" thickBot="1" x14ac:dyDescent="0.25">
      <c r="C73" s="22" t="s">
        <v>197</v>
      </c>
      <c r="D73" s="10">
        <v>46387</v>
      </c>
      <c r="E73" s="10">
        <v>46388</v>
      </c>
      <c r="F73" s="10">
        <v>46387</v>
      </c>
      <c r="G73" s="10">
        <v>46388</v>
      </c>
    </row>
    <row r="74" spans="2:13" x14ac:dyDescent="0.2">
      <c r="C74" t="s">
        <v>155</v>
      </c>
      <c r="D74" t="s">
        <v>198</v>
      </c>
    </row>
    <row r="75" spans="2:13" x14ac:dyDescent="0.2">
      <c r="J75" t="s">
        <v>19</v>
      </c>
    </row>
    <row r="76" spans="2:13" x14ac:dyDescent="0.2">
      <c r="K76" t="s">
        <v>189</v>
      </c>
      <c r="L76" t="s">
        <v>187</v>
      </c>
    </row>
    <row r="77" spans="2:13" x14ac:dyDescent="0.2">
      <c r="K77" t="s">
        <v>190</v>
      </c>
    </row>
    <row r="78" spans="2:13" x14ac:dyDescent="0.2">
      <c r="K78" t="s">
        <v>181</v>
      </c>
      <c r="L78" t="s">
        <v>191</v>
      </c>
    </row>
    <row r="81" spans="2:11" x14ac:dyDescent="0.2">
      <c r="J81" t="s">
        <v>193</v>
      </c>
      <c r="K81" t="s">
        <v>5</v>
      </c>
    </row>
    <row r="82" spans="2:11" x14ac:dyDescent="0.2">
      <c r="J82" t="s">
        <v>194</v>
      </c>
      <c r="K82" t="s">
        <v>192</v>
      </c>
    </row>
    <row r="93" spans="2:11" ht="17" thickBot="1" x14ac:dyDescent="0.25">
      <c r="B93" t="s">
        <v>3</v>
      </c>
      <c r="G93" t="s">
        <v>17</v>
      </c>
      <c r="J93" t="s">
        <v>203</v>
      </c>
    </row>
    <row r="94" spans="2:11" ht="17" thickBot="1" x14ac:dyDescent="0.25">
      <c r="B94" s="23" t="s">
        <v>177</v>
      </c>
      <c r="C94" t="s">
        <v>200</v>
      </c>
      <c r="D94" t="s">
        <v>178</v>
      </c>
      <c r="G94" t="s">
        <v>201</v>
      </c>
      <c r="H94" s="23" t="s">
        <v>177</v>
      </c>
      <c r="I94" t="s">
        <v>202</v>
      </c>
      <c r="J94" t="s">
        <v>204</v>
      </c>
    </row>
    <row r="95" spans="2:11" x14ac:dyDescent="0.2">
      <c r="B95">
        <v>1</v>
      </c>
      <c r="G95">
        <v>1</v>
      </c>
      <c r="H95">
        <v>1</v>
      </c>
      <c r="I95">
        <v>2499</v>
      </c>
    </row>
    <row r="96" spans="2:11" x14ac:dyDescent="0.2">
      <c r="H96">
        <v>99</v>
      </c>
    </row>
    <row r="98" spans="2:7" x14ac:dyDescent="0.2">
      <c r="C98" t="s">
        <v>187</v>
      </c>
      <c r="D98" t="s">
        <v>191</v>
      </c>
    </row>
    <row r="99" spans="2:7" x14ac:dyDescent="0.2">
      <c r="C99" t="s">
        <v>203</v>
      </c>
      <c r="D99" t="s">
        <v>205</v>
      </c>
      <c r="F99" t="s">
        <v>206</v>
      </c>
    </row>
    <row r="100" spans="2:7" x14ac:dyDescent="0.2">
      <c r="F100" t="s">
        <v>207</v>
      </c>
    </row>
    <row r="103" spans="2:7" x14ac:dyDescent="0.2">
      <c r="F103" t="s">
        <v>208</v>
      </c>
    </row>
    <row r="104" spans="2:7" x14ac:dyDescent="0.2">
      <c r="F104" t="s">
        <v>209</v>
      </c>
    </row>
    <row r="107" spans="2:7" x14ac:dyDescent="0.2">
      <c r="B107" t="s">
        <v>210</v>
      </c>
      <c r="F107" t="s">
        <v>213</v>
      </c>
    </row>
    <row r="108" spans="2:7" x14ac:dyDescent="0.2">
      <c r="B108" t="s">
        <v>211</v>
      </c>
      <c r="C108" t="s">
        <v>212</v>
      </c>
      <c r="F108" t="s">
        <v>214</v>
      </c>
      <c r="G108" t="s">
        <v>211</v>
      </c>
    </row>
    <row r="109" spans="2:7" x14ac:dyDescent="0.2">
      <c r="B109" t="s">
        <v>187</v>
      </c>
      <c r="F109" t="s">
        <v>187</v>
      </c>
      <c r="G109" t="s">
        <v>191</v>
      </c>
    </row>
    <row r="110" spans="2:7" x14ac:dyDescent="0.2">
      <c r="B110" s="24">
        <v>1</v>
      </c>
      <c r="C110" s="24"/>
      <c r="D110" s="24"/>
      <c r="E110" s="24"/>
      <c r="F110" s="24"/>
      <c r="G110" s="24">
        <v>1</v>
      </c>
    </row>
    <row r="111" spans="2:7" x14ac:dyDescent="0.2">
      <c r="B111" s="24"/>
      <c r="C111" s="24"/>
      <c r="D111" s="24"/>
      <c r="E111" s="24"/>
      <c r="F111" s="24"/>
      <c r="G111" s="24">
        <v>1</v>
      </c>
    </row>
    <row r="112" spans="2:7" x14ac:dyDescent="0.2">
      <c r="B112" s="24"/>
      <c r="C112" s="24"/>
      <c r="D112" s="24"/>
      <c r="E112" s="24"/>
      <c r="F112" s="24"/>
      <c r="G112" s="24">
        <v>1</v>
      </c>
    </row>
    <row r="113" spans="2:8" x14ac:dyDescent="0.2">
      <c r="B113">
        <v>2</v>
      </c>
      <c r="G113" s="24">
        <v>1</v>
      </c>
    </row>
    <row r="116" spans="2:8" ht="17" thickBot="1" x14ac:dyDescent="0.25"/>
    <row r="117" spans="2:8" ht="17" thickBot="1" x14ac:dyDescent="0.25">
      <c r="B117" s="14" t="s">
        <v>215</v>
      </c>
      <c r="C117" s="16" t="s">
        <v>216</v>
      </c>
    </row>
    <row r="120" spans="2:8" x14ac:dyDescent="0.2">
      <c r="B120" t="s">
        <v>211</v>
      </c>
      <c r="C120" t="s">
        <v>212</v>
      </c>
      <c r="F120" t="s">
        <v>214</v>
      </c>
      <c r="G120" t="s">
        <v>211</v>
      </c>
      <c r="H120" t="s">
        <v>217</v>
      </c>
    </row>
    <row r="121" spans="2:8" x14ac:dyDescent="0.2">
      <c r="B121" t="s">
        <v>187</v>
      </c>
      <c r="F121" t="s">
        <v>187</v>
      </c>
      <c r="G121" t="s">
        <v>191</v>
      </c>
      <c r="H121" t="b">
        <v>0</v>
      </c>
    </row>
    <row r="122" spans="2:8" x14ac:dyDescent="0.2">
      <c r="B122">
        <v>1</v>
      </c>
      <c r="G122">
        <v>1</v>
      </c>
      <c r="H122" t="b">
        <v>1</v>
      </c>
    </row>
    <row r="123" spans="2:8" x14ac:dyDescent="0.2">
      <c r="G123">
        <v>1</v>
      </c>
      <c r="H123" t="b">
        <v>1</v>
      </c>
    </row>
    <row r="124" spans="2:8" x14ac:dyDescent="0.2">
      <c r="G124">
        <v>1</v>
      </c>
      <c r="H124" t="b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391E-EE43-2446-825A-CA711AFD451F}">
  <dimension ref="B2:H124"/>
  <sheetViews>
    <sheetView topLeftCell="B112" zoomScale="200" zoomScaleNormal="200" workbookViewId="0">
      <selection activeCell="E127" sqref="E127"/>
    </sheetView>
  </sheetViews>
  <sheetFormatPr baseColWidth="10" defaultRowHeight="16" x14ac:dyDescent="0.2"/>
  <cols>
    <col min="3" max="3" width="62" bestFit="1" customWidth="1"/>
    <col min="4" max="4" width="21.83203125" customWidth="1"/>
    <col min="5" max="5" width="18" bestFit="1" customWidth="1"/>
  </cols>
  <sheetData>
    <row r="2" spans="2:5" x14ac:dyDescent="0.2">
      <c r="B2" t="s">
        <v>220</v>
      </c>
      <c r="C2" t="s">
        <v>218</v>
      </c>
    </row>
    <row r="3" spans="2:5" x14ac:dyDescent="0.2">
      <c r="B3" t="s">
        <v>221</v>
      </c>
      <c r="C3" t="s">
        <v>219</v>
      </c>
    </row>
    <row r="4" spans="2:5" x14ac:dyDescent="0.2">
      <c r="B4" t="s">
        <v>222</v>
      </c>
    </row>
    <row r="7" spans="2:5" x14ac:dyDescent="0.2">
      <c r="C7" t="s">
        <v>223</v>
      </c>
    </row>
    <row r="8" spans="2:5" x14ac:dyDescent="0.2">
      <c r="C8" t="s">
        <v>224</v>
      </c>
    </row>
    <row r="12" spans="2:5" x14ac:dyDescent="0.2">
      <c r="D12" t="s">
        <v>225</v>
      </c>
    </row>
    <row r="13" spans="2:5" x14ac:dyDescent="0.2">
      <c r="D13" t="s">
        <v>226</v>
      </c>
    </row>
    <row r="15" spans="2:5" x14ac:dyDescent="0.2">
      <c r="E15" t="s">
        <v>6</v>
      </c>
    </row>
    <row r="16" spans="2:5" x14ac:dyDescent="0.2">
      <c r="E16" t="s">
        <v>237</v>
      </c>
    </row>
    <row r="17" spans="2:6" x14ac:dyDescent="0.2">
      <c r="D17" t="s">
        <v>136</v>
      </c>
      <c r="E17" t="s">
        <v>236</v>
      </c>
    </row>
    <row r="18" spans="2:6" x14ac:dyDescent="0.2">
      <c r="B18" t="s">
        <v>227</v>
      </c>
      <c r="D18" t="s">
        <v>230</v>
      </c>
      <c r="E18" t="s">
        <v>233</v>
      </c>
      <c r="F18" t="s">
        <v>238</v>
      </c>
    </row>
    <row r="19" spans="2:6" x14ac:dyDescent="0.2">
      <c r="B19" t="s">
        <v>228</v>
      </c>
      <c r="D19" t="s">
        <v>231</v>
      </c>
      <c r="E19" t="s">
        <v>234</v>
      </c>
      <c r="F19" t="s">
        <v>239</v>
      </c>
    </row>
    <row r="20" spans="2:6" x14ac:dyDescent="0.2">
      <c r="B20" t="s">
        <v>229</v>
      </c>
      <c r="D20" t="s">
        <v>232</v>
      </c>
      <c r="E20" t="s">
        <v>235</v>
      </c>
      <c r="F20" t="s">
        <v>240</v>
      </c>
    </row>
    <row r="22" spans="2:6" x14ac:dyDescent="0.2">
      <c r="D22" t="s">
        <v>241</v>
      </c>
      <c r="E22" t="s">
        <v>242</v>
      </c>
    </row>
    <row r="23" spans="2:6" x14ac:dyDescent="0.2">
      <c r="E23" t="s">
        <v>243</v>
      </c>
    </row>
    <row r="26" spans="2:6" x14ac:dyDescent="0.2">
      <c r="D26" t="s">
        <v>95</v>
      </c>
    </row>
    <row r="27" spans="2:6" x14ac:dyDescent="0.2">
      <c r="D27" s="25">
        <v>46023</v>
      </c>
      <c r="E27" s="25">
        <v>46023.5</v>
      </c>
    </row>
    <row r="28" spans="2:6" x14ac:dyDescent="0.2">
      <c r="D28" s="25">
        <v>46387</v>
      </c>
      <c r="E28" s="25">
        <v>46387.5</v>
      </c>
    </row>
    <row r="33" spans="2:7" x14ac:dyDescent="0.2">
      <c r="C33" t="s">
        <v>244</v>
      </c>
    </row>
    <row r="34" spans="2:7" x14ac:dyDescent="0.2">
      <c r="C34" t="s">
        <v>245</v>
      </c>
    </row>
    <row r="37" spans="2:7" x14ac:dyDescent="0.2">
      <c r="B37">
        <v>100</v>
      </c>
      <c r="C37">
        <v>10</v>
      </c>
      <c r="D37" t="s">
        <v>246</v>
      </c>
      <c r="E37">
        <v>10</v>
      </c>
      <c r="F37" s="26" t="s">
        <v>247</v>
      </c>
    </row>
    <row r="38" spans="2:7" x14ac:dyDescent="0.2">
      <c r="D38" t="s">
        <v>248</v>
      </c>
      <c r="E38">
        <v>10</v>
      </c>
      <c r="F38" s="27" t="s">
        <v>249</v>
      </c>
    </row>
    <row r="41" spans="2:7" x14ac:dyDescent="0.2">
      <c r="B41">
        <v>10</v>
      </c>
      <c r="C41">
        <v>2</v>
      </c>
    </row>
    <row r="42" spans="2:7" x14ac:dyDescent="0.2">
      <c r="E42" t="s">
        <v>256</v>
      </c>
      <c r="G42" t="s">
        <v>257</v>
      </c>
    </row>
    <row r="43" spans="2:7" x14ac:dyDescent="0.2">
      <c r="C43">
        <v>1</v>
      </c>
      <c r="D43" t="s">
        <v>253</v>
      </c>
      <c r="E43">
        <v>2</v>
      </c>
      <c r="F43" s="27" t="s">
        <v>250</v>
      </c>
      <c r="G43">
        <v>0</v>
      </c>
    </row>
    <row r="44" spans="2:7" x14ac:dyDescent="0.2">
      <c r="C44">
        <v>2</v>
      </c>
      <c r="D44" t="s">
        <v>254</v>
      </c>
      <c r="E44">
        <v>2</v>
      </c>
      <c r="F44" s="27" t="s">
        <v>251</v>
      </c>
      <c r="G44">
        <v>2</v>
      </c>
    </row>
    <row r="45" spans="2:7" x14ac:dyDescent="0.2">
      <c r="C45">
        <v>3</v>
      </c>
      <c r="D45" t="s">
        <v>255</v>
      </c>
      <c r="E45">
        <v>2</v>
      </c>
      <c r="F45" s="27" t="s">
        <v>252</v>
      </c>
      <c r="G45">
        <v>4</v>
      </c>
    </row>
    <row r="46" spans="2:7" x14ac:dyDescent="0.2">
      <c r="C46">
        <v>4</v>
      </c>
    </row>
    <row r="47" spans="2:7" x14ac:dyDescent="0.2">
      <c r="C47">
        <v>5</v>
      </c>
    </row>
    <row r="48" spans="2:7" x14ac:dyDescent="0.2">
      <c r="C48">
        <v>6</v>
      </c>
    </row>
    <row r="49" spans="3:5" x14ac:dyDescent="0.2">
      <c r="C49">
        <v>7</v>
      </c>
    </row>
    <row r="50" spans="3:5" x14ac:dyDescent="0.2">
      <c r="C50">
        <v>8</v>
      </c>
    </row>
    <row r="51" spans="3:5" x14ac:dyDescent="0.2">
      <c r="C51">
        <v>9</v>
      </c>
    </row>
    <row r="52" spans="3:5" x14ac:dyDescent="0.2">
      <c r="C52">
        <v>10</v>
      </c>
    </row>
    <row r="55" spans="3:5" x14ac:dyDescent="0.2">
      <c r="C55" t="s">
        <v>258</v>
      </c>
    </row>
    <row r="56" spans="3:5" x14ac:dyDescent="0.2">
      <c r="D56" t="s">
        <v>259</v>
      </c>
    </row>
    <row r="57" spans="3:5" x14ac:dyDescent="0.2">
      <c r="D57" t="s">
        <v>260</v>
      </c>
    </row>
    <row r="58" spans="3:5" x14ac:dyDescent="0.2">
      <c r="D58" t="s">
        <v>261</v>
      </c>
      <c r="E58" t="s">
        <v>245</v>
      </c>
    </row>
    <row r="62" spans="3:5" ht="17" thickBot="1" x14ac:dyDescent="0.25">
      <c r="C62" t="s">
        <v>259</v>
      </c>
      <c r="D62" t="s">
        <v>260</v>
      </c>
      <c r="E62" t="s">
        <v>261</v>
      </c>
    </row>
    <row r="63" spans="3:5" ht="17" thickBot="1" x14ac:dyDescent="0.25">
      <c r="C63" s="28" t="s">
        <v>31</v>
      </c>
      <c r="D63" s="21" t="s">
        <v>31</v>
      </c>
      <c r="E63" s="23" t="s">
        <v>32</v>
      </c>
    </row>
    <row r="64" spans="3:5" ht="17" thickBot="1" x14ac:dyDescent="0.25">
      <c r="C64" s="29" t="s">
        <v>31</v>
      </c>
      <c r="D64" s="22" t="s">
        <v>31</v>
      </c>
      <c r="E64" s="23" t="s">
        <v>31</v>
      </c>
    </row>
    <row r="65" spans="3:5" ht="17" thickBot="1" x14ac:dyDescent="0.25">
      <c r="C65" s="29" t="s">
        <v>31</v>
      </c>
      <c r="D65" s="21" t="s">
        <v>32</v>
      </c>
      <c r="E65" s="23" t="s">
        <v>32</v>
      </c>
    </row>
    <row r="66" spans="3:5" ht="17" thickBot="1" x14ac:dyDescent="0.25">
      <c r="C66" s="30" t="s">
        <v>31</v>
      </c>
      <c r="D66" s="22" t="s">
        <v>32</v>
      </c>
      <c r="E66" s="9" t="s">
        <v>31</v>
      </c>
    </row>
    <row r="67" spans="3:5" x14ac:dyDescent="0.2">
      <c r="C67" s="28" t="s">
        <v>32</v>
      </c>
      <c r="D67" s="21" t="s">
        <v>31</v>
      </c>
      <c r="E67" s="4" t="s">
        <v>32</v>
      </c>
    </row>
    <row r="68" spans="3:5" ht="17" thickBot="1" x14ac:dyDescent="0.25">
      <c r="C68" s="29" t="s">
        <v>32</v>
      </c>
      <c r="D68" s="22" t="s">
        <v>31</v>
      </c>
      <c r="E68" s="6" t="s">
        <v>31</v>
      </c>
    </row>
    <row r="69" spans="3:5" x14ac:dyDescent="0.2">
      <c r="C69" s="29" t="s">
        <v>32</v>
      </c>
      <c r="D69" s="21" t="s">
        <v>32</v>
      </c>
      <c r="E69" s="6" t="s">
        <v>32</v>
      </c>
    </row>
    <row r="70" spans="3:5" ht="17" thickBot="1" x14ac:dyDescent="0.25">
      <c r="C70" s="30" t="s">
        <v>32</v>
      </c>
      <c r="D70" s="22" t="s">
        <v>32</v>
      </c>
      <c r="E70" s="9" t="s">
        <v>31</v>
      </c>
    </row>
    <row r="75" spans="3:5" x14ac:dyDescent="0.2">
      <c r="C75" t="s">
        <v>259</v>
      </c>
      <c r="D75" t="s">
        <v>260</v>
      </c>
    </row>
    <row r="76" spans="3:5" x14ac:dyDescent="0.2">
      <c r="C76" t="s">
        <v>31</v>
      </c>
      <c r="D76" t="s">
        <v>263</v>
      </c>
    </row>
    <row r="77" spans="3:5" x14ac:dyDescent="0.2">
      <c r="C77" t="s">
        <v>32</v>
      </c>
      <c r="D77" t="s">
        <v>32</v>
      </c>
    </row>
    <row r="78" spans="3:5" x14ac:dyDescent="0.2">
      <c r="C78" t="s">
        <v>262</v>
      </c>
      <c r="D78" t="s">
        <v>31</v>
      </c>
    </row>
    <row r="79" spans="3:5" x14ac:dyDescent="0.2">
      <c r="C79" t="s">
        <v>263</v>
      </c>
      <c r="D79" t="s">
        <v>262</v>
      </c>
    </row>
    <row r="83" spans="4:8" x14ac:dyDescent="0.2">
      <c r="D83" t="s">
        <v>264</v>
      </c>
      <c r="E83" t="s">
        <v>256</v>
      </c>
      <c r="F83" t="s">
        <v>257</v>
      </c>
    </row>
    <row r="84" spans="4:8" x14ac:dyDescent="0.2">
      <c r="D84">
        <v>1</v>
      </c>
      <c r="E84">
        <v>20</v>
      </c>
      <c r="F84">
        <v>0</v>
      </c>
      <c r="G84">
        <v>20</v>
      </c>
      <c r="H84">
        <f>(D84-1)*E84</f>
        <v>0</v>
      </c>
    </row>
    <row r="85" spans="4:8" x14ac:dyDescent="0.2">
      <c r="D85">
        <v>2</v>
      </c>
      <c r="E85">
        <v>20</v>
      </c>
      <c r="F85">
        <v>20</v>
      </c>
      <c r="G85">
        <v>40</v>
      </c>
      <c r="H85">
        <f t="shared" ref="H85:H93" si="0">(D85-1)*E85</f>
        <v>20</v>
      </c>
    </row>
    <row r="86" spans="4:8" x14ac:dyDescent="0.2">
      <c r="D86">
        <v>3</v>
      </c>
      <c r="E86">
        <v>20</v>
      </c>
      <c r="F86">
        <v>40</v>
      </c>
      <c r="H86">
        <f t="shared" si="0"/>
        <v>40</v>
      </c>
    </row>
    <row r="87" spans="4:8" x14ac:dyDescent="0.2">
      <c r="D87">
        <v>4</v>
      </c>
      <c r="E87">
        <v>20</v>
      </c>
      <c r="H87">
        <f t="shared" si="0"/>
        <v>60</v>
      </c>
    </row>
    <row r="88" spans="4:8" x14ac:dyDescent="0.2">
      <c r="D88">
        <v>5</v>
      </c>
      <c r="E88">
        <v>20</v>
      </c>
      <c r="H88">
        <f t="shared" si="0"/>
        <v>80</v>
      </c>
    </row>
    <row r="89" spans="4:8" x14ac:dyDescent="0.2">
      <c r="D89">
        <v>6</v>
      </c>
      <c r="E89">
        <v>20</v>
      </c>
      <c r="H89">
        <f t="shared" si="0"/>
        <v>100</v>
      </c>
    </row>
    <row r="90" spans="4:8" x14ac:dyDescent="0.2">
      <c r="D90">
        <v>7</v>
      </c>
      <c r="E90">
        <v>20</v>
      </c>
      <c r="H90">
        <f t="shared" si="0"/>
        <v>120</v>
      </c>
    </row>
    <row r="91" spans="4:8" x14ac:dyDescent="0.2">
      <c r="D91">
        <v>8</v>
      </c>
      <c r="E91">
        <v>20</v>
      </c>
      <c r="H91">
        <f t="shared" si="0"/>
        <v>140</v>
      </c>
    </row>
    <row r="92" spans="4:8" x14ac:dyDescent="0.2">
      <c r="D92">
        <v>9</v>
      </c>
      <c r="E92">
        <v>20</v>
      </c>
      <c r="H92">
        <f t="shared" si="0"/>
        <v>160</v>
      </c>
    </row>
    <row r="93" spans="4:8" x14ac:dyDescent="0.2">
      <c r="D93">
        <v>9999</v>
      </c>
      <c r="E93">
        <v>20</v>
      </c>
      <c r="H93">
        <f t="shared" si="0"/>
        <v>199960</v>
      </c>
    </row>
    <row r="98" spans="3:7" x14ac:dyDescent="0.2">
      <c r="C98" t="s">
        <v>265</v>
      </c>
      <c r="D98" t="s">
        <v>266</v>
      </c>
      <c r="F98" t="s">
        <v>267</v>
      </c>
      <c r="G98" t="s">
        <v>268</v>
      </c>
    </row>
    <row r="99" spans="3:7" x14ac:dyDescent="0.2">
      <c r="C99" t="s">
        <v>267</v>
      </c>
      <c r="D99" t="s">
        <v>268</v>
      </c>
      <c r="F99" t="s">
        <v>265</v>
      </c>
      <c r="G99" t="s">
        <v>266</v>
      </c>
    </row>
    <row r="102" spans="3:7" x14ac:dyDescent="0.2">
      <c r="C102" t="s">
        <v>265</v>
      </c>
      <c r="D102" t="s">
        <v>268</v>
      </c>
    </row>
    <row r="103" spans="3:7" x14ac:dyDescent="0.2">
      <c r="C103" t="s">
        <v>267</v>
      </c>
      <c r="D103" t="s">
        <v>266</v>
      </c>
    </row>
    <row r="116" spans="4:4" x14ac:dyDescent="0.2">
      <c r="D116" t="s">
        <v>269</v>
      </c>
    </row>
    <row r="117" spans="4:4" x14ac:dyDescent="0.2">
      <c r="D117" t="s">
        <v>270</v>
      </c>
    </row>
    <row r="118" spans="4:4" x14ac:dyDescent="0.2">
      <c r="D118" t="s">
        <v>271</v>
      </c>
    </row>
    <row r="119" spans="4:4" x14ac:dyDescent="0.2">
      <c r="D119" t="s">
        <v>272</v>
      </c>
    </row>
    <row r="120" spans="4:4" x14ac:dyDescent="0.2">
      <c r="D120" t="s">
        <v>273</v>
      </c>
    </row>
    <row r="121" spans="4:4" x14ac:dyDescent="0.2">
      <c r="D121" t="s">
        <v>274</v>
      </c>
    </row>
    <row r="122" spans="4:4" x14ac:dyDescent="0.2">
      <c r="D122" t="s">
        <v>275</v>
      </c>
    </row>
    <row r="123" spans="4:4" x14ac:dyDescent="0.2">
      <c r="D123" t="s">
        <v>256</v>
      </c>
    </row>
    <row r="124" spans="4:4" x14ac:dyDescent="0.2">
      <c r="D124" t="s">
        <v>257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D137-AC57-A548-AEC7-7D5FF79A7EE8}">
  <dimension ref="B2:K131"/>
  <sheetViews>
    <sheetView topLeftCell="A14" zoomScale="200" zoomScaleNormal="200" workbookViewId="0">
      <selection activeCell="H22" sqref="H22"/>
    </sheetView>
  </sheetViews>
  <sheetFormatPr baseColWidth="10" defaultRowHeight="16" x14ac:dyDescent="0.2"/>
  <cols>
    <col min="2" max="2" width="17.83203125" bestFit="1" customWidth="1"/>
    <col min="3" max="3" width="12" bestFit="1" customWidth="1"/>
    <col min="4" max="4" width="13.5" bestFit="1" customWidth="1"/>
    <col min="5" max="5" width="13.33203125" bestFit="1" customWidth="1"/>
    <col min="6" max="6" width="15.6640625" bestFit="1" customWidth="1"/>
    <col min="7" max="7" width="18" bestFit="1" customWidth="1"/>
    <col min="8" max="8" width="15.6640625" bestFit="1" customWidth="1"/>
    <col min="9" max="9" width="18" bestFit="1" customWidth="1"/>
    <col min="10" max="10" width="17.5" bestFit="1" customWidth="1"/>
  </cols>
  <sheetData>
    <row r="2" spans="2:11" x14ac:dyDescent="0.2">
      <c r="B2" t="s">
        <v>276</v>
      </c>
      <c r="C2" t="s">
        <v>277</v>
      </c>
      <c r="D2" t="s">
        <v>278</v>
      </c>
      <c r="E2" s="1" t="s">
        <v>101</v>
      </c>
      <c r="G2" t="s">
        <v>19</v>
      </c>
      <c r="H2" t="s">
        <v>277</v>
      </c>
      <c r="I2" t="s">
        <v>278</v>
      </c>
      <c r="J2" t="s">
        <v>98</v>
      </c>
    </row>
    <row r="3" spans="2:11" x14ac:dyDescent="0.2">
      <c r="H3" t="s">
        <v>279</v>
      </c>
      <c r="I3" t="s">
        <v>280</v>
      </c>
      <c r="J3" s="1" t="s">
        <v>98</v>
      </c>
    </row>
    <row r="10" spans="2:11" x14ac:dyDescent="0.2">
      <c r="E10" t="s">
        <v>281</v>
      </c>
      <c r="F10" s="27" t="s">
        <v>283</v>
      </c>
    </row>
    <row r="11" spans="2:11" x14ac:dyDescent="0.2">
      <c r="E11" t="s">
        <v>101</v>
      </c>
      <c r="F11" s="27" t="s">
        <v>282</v>
      </c>
    </row>
    <row r="12" spans="2:11" x14ac:dyDescent="0.2">
      <c r="E12" t="s">
        <v>98</v>
      </c>
      <c r="F12">
        <v>1</v>
      </c>
      <c r="H12" t="s">
        <v>101</v>
      </c>
      <c r="I12">
        <v>1.52</v>
      </c>
      <c r="J12" t="s">
        <v>98</v>
      </c>
      <c r="K12">
        <v>1</v>
      </c>
    </row>
    <row r="13" spans="2:11" x14ac:dyDescent="0.2">
      <c r="I13" s="27" t="s">
        <v>282</v>
      </c>
    </row>
    <row r="15" spans="2:11" x14ac:dyDescent="0.2">
      <c r="H15" t="s">
        <v>101</v>
      </c>
      <c r="J15" t="s">
        <v>101</v>
      </c>
    </row>
    <row r="18" spans="2:9" s="1" customFormat="1" x14ac:dyDescent="0.2"/>
    <row r="20" spans="2:9" x14ac:dyDescent="0.2">
      <c r="B20" t="s">
        <v>284</v>
      </c>
      <c r="D20" t="s">
        <v>286</v>
      </c>
      <c r="H20" t="s">
        <v>287</v>
      </c>
    </row>
    <row r="22" spans="2:9" x14ac:dyDescent="0.2">
      <c r="B22" t="s">
        <v>285</v>
      </c>
      <c r="D22" t="s">
        <v>289</v>
      </c>
      <c r="H22" t="s">
        <v>288</v>
      </c>
    </row>
    <row r="23" spans="2:9" x14ac:dyDescent="0.2">
      <c r="D23" t="s">
        <v>290</v>
      </c>
    </row>
    <row r="24" spans="2:9" x14ac:dyDescent="0.2">
      <c r="D24" t="s">
        <v>291</v>
      </c>
    </row>
    <row r="25" spans="2:9" x14ac:dyDescent="0.2">
      <c r="D25" t="s">
        <v>292</v>
      </c>
    </row>
    <row r="26" spans="2:9" x14ac:dyDescent="0.2">
      <c r="D26" t="s">
        <v>293</v>
      </c>
    </row>
    <row r="27" spans="2:9" x14ac:dyDescent="0.2">
      <c r="D27" t="s">
        <v>294</v>
      </c>
    </row>
    <row r="28" spans="2:9" x14ac:dyDescent="0.2">
      <c r="D28" t="s">
        <v>295</v>
      </c>
    </row>
    <row r="29" spans="2:9" x14ac:dyDescent="0.2">
      <c r="D29" t="s">
        <v>296</v>
      </c>
    </row>
    <row r="30" spans="2:9" x14ac:dyDescent="0.2">
      <c r="I30" t="s">
        <v>323</v>
      </c>
    </row>
    <row r="31" spans="2:9" x14ac:dyDescent="0.2">
      <c r="I31" t="s">
        <v>324</v>
      </c>
    </row>
    <row r="33" spans="2:7" x14ac:dyDescent="0.2">
      <c r="B33" t="s">
        <v>22</v>
      </c>
      <c r="D33" t="s">
        <v>284</v>
      </c>
      <c r="F33" t="s">
        <v>285</v>
      </c>
    </row>
    <row r="35" spans="2:7" x14ac:dyDescent="0.2">
      <c r="B35" t="s">
        <v>297</v>
      </c>
      <c r="D35" t="s">
        <v>301</v>
      </c>
      <c r="F35" t="s">
        <v>302</v>
      </c>
    </row>
    <row r="36" spans="2:7" x14ac:dyDescent="0.2">
      <c r="B36" t="s">
        <v>298</v>
      </c>
      <c r="D36" t="str">
        <f>UPPER(B36)</f>
        <v>SIRAJ ALI</v>
      </c>
      <c r="F36">
        <f>COUNTA(B36:B38)</f>
        <v>3</v>
      </c>
    </row>
    <row r="37" spans="2:7" x14ac:dyDescent="0.2">
      <c r="B37" t="s">
        <v>299</v>
      </c>
      <c r="D37" t="str">
        <f t="shared" ref="D37:D38" si="0">UPPER(B37)</f>
        <v>ROHAN KUMAR</v>
      </c>
    </row>
    <row r="38" spans="2:7" x14ac:dyDescent="0.2">
      <c r="B38" t="s">
        <v>300</v>
      </c>
      <c r="D38" t="str">
        <f t="shared" si="0"/>
        <v>SOHEL</v>
      </c>
    </row>
    <row r="40" spans="2:7" s="31" customFormat="1" x14ac:dyDescent="0.2">
      <c r="B40" s="31" t="s">
        <v>321</v>
      </c>
    </row>
    <row r="42" spans="2:7" x14ac:dyDescent="0.2">
      <c r="B42" t="s">
        <v>301</v>
      </c>
      <c r="C42" t="s">
        <v>307</v>
      </c>
      <c r="D42" t="s">
        <v>305</v>
      </c>
      <c r="E42" t="s">
        <v>308</v>
      </c>
      <c r="F42" t="s">
        <v>313</v>
      </c>
    </row>
    <row r="43" spans="2:7" x14ac:dyDescent="0.2">
      <c r="B43" t="s">
        <v>303</v>
      </c>
      <c r="C43" t="s">
        <v>309</v>
      </c>
      <c r="D43" t="s">
        <v>306</v>
      </c>
      <c r="E43" t="s">
        <v>311</v>
      </c>
      <c r="F43" t="s">
        <v>314</v>
      </c>
    </row>
    <row r="44" spans="2:7" x14ac:dyDescent="0.2">
      <c r="B44" t="s">
        <v>304</v>
      </c>
      <c r="C44" t="s">
        <v>320</v>
      </c>
      <c r="E44" t="s">
        <v>312</v>
      </c>
      <c r="F44" t="s">
        <v>315</v>
      </c>
    </row>
    <row r="45" spans="2:7" x14ac:dyDescent="0.2">
      <c r="C45" t="s">
        <v>310</v>
      </c>
      <c r="F45" t="s">
        <v>316</v>
      </c>
    </row>
    <row r="46" spans="2:7" x14ac:dyDescent="0.2">
      <c r="G46" t="s">
        <v>317</v>
      </c>
    </row>
    <row r="47" spans="2:7" x14ac:dyDescent="0.2">
      <c r="G47" t="s">
        <v>318</v>
      </c>
    </row>
    <row r="48" spans="2:7" x14ac:dyDescent="0.2">
      <c r="G48" t="s">
        <v>319</v>
      </c>
    </row>
    <row r="50" spans="2:11" s="31" customFormat="1" x14ac:dyDescent="0.2">
      <c r="B50" s="31" t="s">
        <v>322</v>
      </c>
    </row>
    <row r="53" spans="2:11" x14ac:dyDescent="0.2">
      <c r="B53" t="s">
        <v>325</v>
      </c>
      <c r="C53" t="s">
        <v>382</v>
      </c>
      <c r="D53" t="s">
        <v>384</v>
      </c>
      <c r="E53" t="s">
        <v>387</v>
      </c>
      <c r="F53" t="s">
        <v>474</v>
      </c>
    </row>
    <row r="54" spans="2:11" x14ac:dyDescent="0.2">
      <c r="B54" t="s">
        <v>326</v>
      </c>
      <c r="C54" t="s">
        <v>383</v>
      </c>
      <c r="J54" t="s">
        <v>388</v>
      </c>
      <c r="K54" t="s">
        <v>389</v>
      </c>
    </row>
    <row r="55" spans="2:11" x14ac:dyDescent="0.2">
      <c r="B55" t="s">
        <v>327</v>
      </c>
    </row>
    <row r="56" spans="2:11" x14ac:dyDescent="0.2">
      <c r="B56" t="s">
        <v>328</v>
      </c>
      <c r="J56" t="str">
        <f ca="1">TEXT(NOW(),"YYYY-MM-DD")</f>
        <v>2026-08-23</v>
      </c>
    </row>
    <row r="57" spans="2:11" x14ac:dyDescent="0.2">
      <c r="B57" t="s">
        <v>386</v>
      </c>
      <c r="J57" t="str">
        <f ca="1">TEXT(NOW(),"dddd, mmm DD yyyy")</f>
        <v>Sunday, Aug 23 2026</v>
      </c>
    </row>
    <row r="59" spans="2:11" x14ac:dyDescent="0.2">
      <c r="F59" s="35"/>
    </row>
    <row r="60" spans="2:11" x14ac:dyDescent="0.2">
      <c r="H60" t="s">
        <v>385</v>
      </c>
    </row>
    <row r="61" spans="2:11" ht="17" x14ac:dyDescent="0.25">
      <c r="B61" s="32" t="s">
        <v>329</v>
      </c>
      <c r="C61" s="33" t="s">
        <v>330</v>
      </c>
      <c r="D61" s="33" t="s">
        <v>331</v>
      </c>
      <c r="E61" s="32" t="s">
        <v>332</v>
      </c>
    </row>
    <row r="62" spans="2:11" ht="17" x14ac:dyDescent="0.25">
      <c r="B62" s="32" t="s">
        <v>333</v>
      </c>
      <c r="C62" s="34" t="s">
        <v>334</v>
      </c>
      <c r="D62" s="34" t="s">
        <v>335</v>
      </c>
      <c r="E62" s="34">
        <v>2026</v>
      </c>
      <c r="H62" t="s">
        <v>474</v>
      </c>
    </row>
    <row r="63" spans="2:11" ht="17" x14ac:dyDescent="0.25">
      <c r="B63" s="32" t="s">
        <v>336</v>
      </c>
      <c r="C63" s="34" t="s">
        <v>337</v>
      </c>
      <c r="D63" s="34" t="s">
        <v>338</v>
      </c>
      <c r="E63" s="34">
        <v>5</v>
      </c>
      <c r="G63" s="36">
        <v>46250.552702314817</v>
      </c>
      <c r="H63" t="s">
        <v>333</v>
      </c>
      <c r="I63" s="36">
        <v>46023.55269675926</v>
      </c>
    </row>
    <row r="64" spans="2:11" ht="17" x14ac:dyDescent="0.25">
      <c r="B64" s="32" t="s">
        <v>339</v>
      </c>
      <c r="C64" s="34" t="s">
        <v>340</v>
      </c>
      <c r="D64" s="34" t="s">
        <v>341</v>
      </c>
      <c r="E64" s="34">
        <v>12</v>
      </c>
      <c r="G64" s="36">
        <v>46615.55269675926</v>
      </c>
      <c r="H64" t="s">
        <v>333</v>
      </c>
      <c r="I64" s="36">
        <v>46615.5</v>
      </c>
    </row>
    <row r="65" spans="2:5" ht="17" x14ac:dyDescent="0.25">
      <c r="B65" s="32" t="s">
        <v>342</v>
      </c>
      <c r="C65" s="34" t="s">
        <v>343</v>
      </c>
      <c r="D65" s="34" t="s">
        <v>344</v>
      </c>
      <c r="E65" s="34">
        <v>14</v>
      </c>
    </row>
    <row r="66" spans="2:5" ht="17" x14ac:dyDescent="0.25">
      <c r="B66" s="32" t="s">
        <v>345</v>
      </c>
      <c r="C66" s="34" t="s">
        <v>346</v>
      </c>
      <c r="D66" s="34" t="s">
        <v>347</v>
      </c>
      <c r="E66" s="34">
        <v>30</v>
      </c>
    </row>
    <row r="67" spans="2:5" ht="17" x14ac:dyDescent="0.25">
      <c r="B67" s="32" t="s">
        <v>348</v>
      </c>
      <c r="C67" s="34" t="s">
        <v>349</v>
      </c>
      <c r="D67" s="34" t="s">
        <v>350</v>
      </c>
      <c r="E67" s="34">
        <v>45</v>
      </c>
    </row>
    <row r="68" spans="2:5" ht="17" x14ac:dyDescent="0.25">
      <c r="B68" s="32" t="s">
        <v>351</v>
      </c>
      <c r="C68" s="34" t="s">
        <v>352</v>
      </c>
      <c r="D68" s="34" t="s">
        <v>353</v>
      </c>
      <c r="E68" s="34">
        <v>2</v>
      </c>
    </row>
    <row r="69" spans="2:5" ht="17" x14ac:dyDescent="0.25">
      <c r="B69" s="32" t="s">
        <v>354</v>
      </c>
      <c r="C69" s="34" t="s">
        <v>355</v>
      </c>
      <c r="D69" s="34" t="s">
        <v>356</v>
      </c>
      <c r="E69" s="34">
        <v>20</v>
      </c>
    </row>
    <row r="70" spans="2:5" ht="17" x14ac:dyDescent="0.25">
      <c r="B70" s="32" t="s">
        <v>357</v>
      </c>
      <c r="C70" s="34" t="s">
        <v>358</v>
      </c>
      <c r="D70" s="34" t="s">
        <v>359</v>
      </c>
      <c r="E70" s="34">
        <v>2</v>
      </c>
    </row>
    <row r="71" spans="2:5" ht="17" x14ac:dyDescent="0.25">
      <c r="B71" s="32" t="s">
        <v>360</v>
      </c>
      <c r="C71" s="34" t="s">
        <v>361</v>
      </c>
      <c r="D71" s="34" t="s">
        <v>362</v>
      </c>
      <c r="E71" s="34">
        <v>132</v>
      </c>
    </row>
    <row r="72" spans="2:5" ht="17" x14ac:dyDescent="0.25">
      <c r="B72" s="32" t="s">
        <v>363</v>
      </c>
      <c r="C72" s="34" t="s">
        <v>364</v>
      </c>
      <c r="D72" s="34" t="s">
        <v>365</v>
      </c>
      <c r="E72" s="34">
        <v>2</v>
      </c>
    </row>
    <row r="73" spans="2:5" ht="17" x14ac:dyDescent="0.25">
      <c r="B73" s="32" t="s">
        <v>366</v>
      </c>
      <c r="C73" s="34" t="s">
        <v>367</v>
      </c>
      <c r="D73" s="34" t="s">
        <v>368</v>
      </c>
      <c r="E73" s="34">
        <v>2026</v>
      </c>
    </row>
    <row r="74" spans="2:5" ht="17" x14ac:dyDescent="0.25">
      <c r="B74" s="32" t="s">
        <v>369</v>
      </c>
      <c r="C74" s="34" t="s">
        <v>370</v>
      </c>
      <c r="D74" s="34" t="s">
        <v>371</v>
      </c>
      <c r="E74" t="s">
        <v>372</v>
      </c>
    </row>
    <row r="75" spans="2:5" ht="17" x14ac:dyDescent="0.25">
      <c r="B75" s="32" t="s">
        <v>373</v>
      </c>
      <c r="C75" s="34" t="s">
        <v>374</v>
      </c>
      <c r="D75" s="34" t="s">
        <v>375</v>
      </c>
      <c r="E75" s="34">
        <v>202</v>
      </c>
    </row>
    <row r="76" spans="2:5" ht="17" x14ac:dyDescent="0.25">
      <c r="B76" s="32" t="s">
        <v>376</v>
      </c>
      <c r="C76" s="34" t="s">
        <v>377</v>
      </c>
      <c r="D76" s="34" t="s">
        <v>378</v>
      </c>
      <c r="E76" s="34">
        <v>21</v>
      </c>
    </row>
    <row r="77" spans="2:5" ht="17" x14ac:dyDescent="0.25">
      <c r="B77" s="32" t="s">
        <v>379</v>
      </c>
      <c r="C77" s="34" t="s">
        <v>380</v>
      </c>
      <c r="D77" s="34" t="s">
        <v>381</v>
      </c>
      <c r="E77" s="34">
        <v>3</v>
      </c>
    </row>
    <row r="79" spans="2:5" x14ac:dyDescent="0.2">
      <c r="B79" s="32" t="s">
        <v>390</v>
      </c>
      <c r="C79" s="32" t="s">
        <v>391</v>
      </c>
      <c r="D79" s="32" t="s">
        <v>392</v>
      </c>
    </row>
    <row r="80" spans="2:5" ht="17" x14ac:dyDescent="0.25">
      <c r="B80" s="34" t="s">
        <v>393</v>
      </c>
      <c r="C80" t="s">
        <v>394</v>
      </c>
      <c r="D80" s="34">
        <v>2026</v>
      </c>
    </row>
    <row r="81" spans="2:4" ht="17" x14ac:dyDescent="0.25">
      <c r="B81" s="34" t="s">
        <v>395</v>
      </c>
      <c r="C81" t="s">
        <v>396</v>
      </c>
      <c r="D81" s="34">
        <v>26</v>
      </c>
    </row>
    <row r="82" spans="2:4" ht="17" x14ac:dyDescent="0.25">
      <c r="B82" s="34" t="s">
        <v>397</v>
      </c>
      <c r="C82" t="s">
        <v>398</v>
      </c>
      <c r="D82" s="34">
        <v>26</v>
      </c>
    </row>
    <row r="83" spans="2:4" ht="17" x14ac:dyDescent="0.25">
      <c r="B83" s="34" t="s">
        <v>399</v>
      </c>
      <c r="C83" t="s">
        <v>400</v>
      </c>
      <c r="D83" s="34">
        <v>6</v>
      </c>
    </row>
    <row r="84" spans="2:4" ht="17" x14ac:dyDescent="0.25">
      <c r="B84" s="34" t="s">
        <v>401</v>
      </c>
      <c r="C84" t="s">
        <v>402</v>
      </c>
      <c r="D84" s="34">
        <v>2026</v>
      </c>
    </row>
    <row r="85" spans="2:4" ht="17" x14ac:dyDescent="0.25">
      <c r="B85" s="34" t="s">
        <v>403</v>
      </c>
      <c r="C85" t="s">
        <v>404</v>
      </c>
      <c r="D85" s="34">
        <v>26</v>
      </c>
    </row>
    <row r="86" spans="2:4" ht="17" x14ac:dyDescent="0.25">
      <c r="B86" s="34" t="s">
        <v>137</v>
      </c>
      <c r="C86" t="s">
        <v>405</v>
      </c>
      <c r="D86" s="34">
        <v>6</v>
      </c>
    </row>
    <row r="88" spans="2:4" x14ac:dyDescent="0.2">
      <c r="B88" s="32" t="s">
        <v>390</v>
      </c>
      <c r="C88" s="32" t="s">
        <v>391</v>
      </c>
      <c r="D88" s="32" t="s">
        <v>392</v>
      </c>
    </row>
    <row r="89" spans="2:4" ht="17" x14ac:dyDescent="0.25">
      <c r="B89" s="34" t="s">
        <v>338</v>
      </c>
      <c r="C89" t="s">
        <v>406</v>
      </c>
      <c r="D89" s="34" t="s">
        <v>407</v>
      </c>
    </row>
    <row r="90" spans="2:4" ht="17" x14ac:dyDescent="0.25">
      <c r="B90" s="34" t="s">
        <v>408</v>
      </c>
      <c r="C90" t="s">
        <v>409</v>
      </c>
      <c r="D90" s="34" t="s">
        <v>410</v>
      </c>
    </row>
    <row r="91" spans="2:4" ht="17" x14ac:dyDescent="0.25">
      <c r="B91" s="34" t="s">
        <v>336</v>
      </c>
      <c r="C91" t="s">
        <v>411</v>
      </c>
      <c r="D91" s="34" t="s">
        <v>412</v>
      </c>
    </row>
    <row r="92" spans="2:4" ht="17" x14ac:dyDescent="0.25">
      <c r="B92" s="34" t="s">
        <v>413</v>
      </c>
      <c r="C92" t="s">
        <v>414</v>
      </c>
      <c r="D92" s="34" t="s">
        <v>407</v>
      </c>
    </row>
    <row r="93" spans="2:4" ht="17" x14ac:dyDescent="0.25">
      <c r="B93" s="34" t="s">
        <v>415</v>
      </c>
      <c r="C93" t="s">
        <v>414</v>
      </c>
      <c r="D93" s="34" t="s">
        <v>410</v>
      </c>
    </row>
    <row r="94" spans="2:4" ht="17" x14ac:dyDescent="0.25">
      <c r="B94" s="34" t="s">
        <v>416</v>
      </c>
      <c r="C94" t="s">
        <v>414</v>
      </c>
      <c r="D94" s="34" t="s">
        <v>412</v>
      </c>
    </row>
    <row r="95" spans="2:4" ht="17" x14ac:dyDescent="0.25">
      <c r="B95" s="34" t="s">
        <v>417</v>
      </c>
      <c r="C95" t="s">
        <v>418</v>
      </c>
      <c r="D95" s="34">
        <v>5</v>
      </c>
    </row>
    <row r="96" spans="2:4" ht="17" x14ac:dyDescent="0.25">
      <c r="B96" s="34" t="s">
        <v>419</v>
      </c>
      <c r="C96" t="s">
        <v>420</v>
      </c>
      <c r="D96" s="34" t="s">
        <v>421</v>
      </c>
    </row>
    <row r="98" spans="2:4" x14ac:dyDescent="0.2">
      <c r="B98" s="32" t="s">
        <v>390</v>
      </c>
      <c r="C98" s="32" t="s">
        <v>391</v>
      </c>
      <c r="D98" s="32" t="s">
        <v>392</v>
      </c>
    </row>
    <row r="99" spans="2:4" ht="17" x14ac:dyDescent="0.25">
      <c r="B99" s="34" t="s">
        <v>422</v>
      </c>
      <c r="C99" t="s">
        <v>423</v>
      </c>
      <c r="D99" s="34">
        <v>12</v>
      </c>
    </row>
    <row r="100" spans="2:4" ht="17" x14ac:dyDescent="0.25">
      <c r="B100" s="34" t="s">
        <v>424</v>
      </c>
      <c r="C100" t="s">
        <v>425</v>
      </c>
      <c r="D100" s="34">
        <v>132</v>
      </c>
    </row>
    <row r="101" spans="2:4" ht="17" x14ac:dyDescent="0.25">
      <c r="B101" s="34" t="s">
        <v>263</v>
      </c>
      <c r="C101" t="s">
        <v>426</v>
      </c>
      <c r="D101" s="34">
        <v>3</v>
      </c>
    </row>
    <row r="102" spans="2:4" ht="17" x14ac:dyDescent="0.25">
      <c r="B102" s="34" t="s">
        <v>341</v>
      </c>
      <c r="C102" t="s">
        <v>427</v>
      </c>
      <c r="D102" s="34" t="s">
        <v>428</v>
      </c>
    </row>
    <row r="103" spans="2:4" ht="17" x14ac:dyDescent="0.25">
      <c r="B103" s="34" t="s">
        <v>429</v>
      </c>
      <c r="C103" t="s">
        <v>430</v>
      </c>
      <c r="D103" s="34" t="s">
        <v>431</v>
      </c>
    </row>
    <row r="104" spans="2:4" ht="17" x14ac:dyDescent="0.25">
      <c r="B104" s="34" t="s">
        <v>339</v>
      </c>
      <c r="C104" t="s">
        <v>432</v>
      </c>
      <c r="D104" s="34" t="s">
        <v>433</v>
      </c>
    </row>
    <row r="105" spans="2:4" ht="17" x14ac:dyDescent="0.25">
      <c r="B105" s="34" t="s">
        <v>434</v>
      </c>
      <c r="C105" t="s">
        <v>435</v>
      </c>
      <c r="D105" s="34" t="s">
        <v>436</v>
      </c>
    </row>
    <row r="106" spans="2:4" ht="17" x14ac:dyDescent="0.25">
      <c r="B106" s="34" t="s">
        <v>437</v>
      </c>
      <c r="C106" t="s">
        <v>438</v>
      </c>
      <c r="D106" s="34" t="s">
        <v>439</v>
      </c>
    </row>
    <row r="107" spans="2:4" ht="17" x14ac:dyDescent="0.25">
      <c r="B107" s="34" t="s">
        <v>440</v>
      </c>
      <c r="C107" t="s">
        <v>441</v>
      </c>
      <c r="D107" s="34" t="s">
        <v>442</v>
      </c>
    </row>
    <row r="108" spans="2:4" ht="17" x14ac:dyDescent="0.25">
      <c r="B108" s="34" t="s">
        <v>443</v>
      </c>
      <c r="C108" t="s">
        <v>444</v>
      </c>
      <c r="D108" s="34">
        <v>2</v>
      </c>
    </row>
    <row r="109" spans="2:4" ht="17" x14ac:dyDescent="0.25">
      <c r="B109" s="34" t="s">
        <v>445</v>
      </c>
      <c r="C109" t="s">
        <v>446</v>
      </c>
      <c r="D109" s="34">
        <v>20</v>
      </c>
    </row>
    <row r="111" spans="2:4" x14ac:dyDescent="0.2">
      <c r="B111" s="32" t="s">
        <v>390</v>
      </c>
      <c r="C111" s="32" t="s">
        <v>391</v>
      </c>
      <c r="D111" s="32" t="s">
        <v>392</v>
      </c>
    </row>
    <row r="112" spans="2:4" ht="17" x14ac:dyDescent="0.25">
      <c r="B112" s="34" t="s">
        <v>447</v>
      </c>
      <c r="C112" t="s">
        <v>448</v>
      </c>
      <c r="D112" s="34">
        <v>8</v>
      </c>
    </row>
    <row r="113" spans="2:4" ht="17" x14ac:dyDescent="0.25">
      <c r="B113" s="34" t="s">
        <v>449</v>
      </c>
      <c r="C113" t="s">
        <v>448</v>
      </c>
      <c r="D113" s="34">
        <v>8</v>
      </c>
    </row>
    <row r="114" spans="2:4" ht="17" x14ac:dyDescent="0.25">
      <c r="B114" s="34" t="s">
        <v>450</v>
      </c>
      <c r="C114" t="s">
        <v>451</v>
      </c>
      <c r="D114" s="34">
        <v>8</v>
      </c>
    </row>
    <row r="115" spans="2:4" ht="17" x14ac:dyDescent="0.25">
      <c r="B115" s="34" t="s">
        <v>452</v>
      </c>
      <c r="C115" t="s">
        <v>453</v>
      </c>
      <c r="D115" s="34">
        <v>48</v>
      </c>
    </row>
    <row r="116" spans="2:4" ht="17" x14ac:dyDescent="0.25">
      <c r="B116" s="34" t="s">
        <v>454</v>
      </c>
      <c r="C116" t="s">
        <v>455</v>
      </c>
      <c r="D116" s="34">
        <v>30</v>
      </c>
    </row>
    <row r="117" spans="2:4" ht="17" x14ac:dyDescent="0.25">
      <c r="B117" s="34" t="s">
        <v>456</v>
      </c>
      <c r="C117" t="s">
        <v>457</v>
      </c>
      <c r="D117" s="34">
        <v>123</v>
      </c>
    </row>
    <row r="118" spans="2:4" ht="17" x14ac:dyDescent="0.25">
      <c r="B118" s="34" t="s">
        <v>458</v>
      </c>
      <c r="C118" t="s">
        <v>459</v>
      </c>
      <c r="D118" s="34">
        <v>123456</v>
      </c>
    </row>
    <row r="119" spans="2:4" ht="17" x14ac:dyDescent="0.25">
      <c r="B119" s="34" t="s">
        <v>460</v>
      </c>
      <c r="C119" t="s">
        <v>461</v>
      </c>
      <c r="D119" s="34" t="s">
        <v>460</v>
      </c>
    </row>
    <row r="120" spans="2:4" ht="17" x14ac:dyDescent="0.25">
      <c r="B120" s="34" t="s">
        <v>462</v>
      </c>
      <c r="C120" t="s">
        <v>463</v>
      </c>
      <c r="D120" s="34" t="s">
        <v>462</v>
      </c>
    </row>
    <row r="121" spans="2:4" ht="17" x14ac:dyDescent="0.25">
      <c r="B121" s="34" t="s">
        <v>464</v>
      </c>
      <c r="C121" t="s">
        <v>465</v>
      </c>
      <c r="D121" s="34" t="s">
        <v>464</v>
      </c>
    </row>
    <row r="122" spans="2:4" ht="17" x14ac:dyDescent="0.25">
      <c r="B122" s="34" t="s">
        <v>466</v>
      </c>
      <c r="C122" t="s">
        <v>467</v>
      </c>
      <c r="D122" s="34" t="s">
        <v>466</v>
      </c>
    </row>
    <row r="124" spans="2:4" x14ac:dyDescent="0.2">
      <c r="B124" s="32" t="s">
        <v>390</v>
      </c>
      <c r="C124" s="32" t="s">
        <v>391</v>
      </c>
    </row>
    <row r="125" spans="2:4" ht="17" x14ac:dyDescent="0.25">
      <c r="B125" s="34" t="s">
        <v>468</v>
      </c>
      <c r="C125" t="s">
        <v>469</v>
      </c>
    </row>
    <row r="126" spans="2:4" ht="17" x14ac:dyDescent="0.25">
      <c r="B126" s="34" t="s">
        <v>445</v>
      </c>
      <c r="C126" t="s">
        <v>446</v>
      </c>
    </row>
    <row r="127" spans="2:4" ht="17" x14ac:dyDescent="0.25">
      <c r="B127" s="34" t="s">
        <v>470</v>
      </c>
      <c r="C127" t="s">
        <v>471</v>
      </c>
    </row>
    <row r="128" spans="2:4" ht="17" x14ac:dyDescent="0.25">
      <c r="B128" s="34" t="s">
        <v>263</v>
      </c>
      <c r="C128" t="s">
        <v>472</v>
      </c>
    </row>
    <row r="129" spans="2:3" ht="17" x14ac:dyDescent="0.25">
      <c r="B129" s="34" t="s">
        <v>443</v>
      </c>
      <c r="C129" t="s">
        <v>444</v>
      </c>
    </row>
    <row r="130" spans="2:3" ht="17" x14ac:dyDescent="0.25">
      <c r="B130" s="34" t="s">
        <v>424</v>
      </c>
      <c r="C130" t="s">
        <v>425</v>
      </c>
    </row>
    <row r="131" spans="2:3" ht="17" x14ac:dyDescent="0.25">
      <c r="B131" s="34" t="s">
        <v>362</v>
      </c>
      <c r="C131" t="s">
        <v>473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B3DF9-4E63-A143-AF59-0331D59F96A9}">
  <dimension ref="B2:J86"/>
  <sheetViews>
    <sheetView topLeftCell="A70" zoomScale="200" zoomScaleNormal="200" workbookViewId="0">
      <selection activeCell="I78" sqref="I78:J78"/>
    </sheetView>
  </sheetViews>
  <sheetFormatPr baseColWidth="10" defaultRowHeight="16" x14ac:dyDescent="0.2"/>
  <sheetData>
    <row r="2" spans="2:8" x14ac:dyDescent="0.2">
      <c r="B2" t="s">
        <v>475</v>
      </c>
    </row>
    <row r="4" spans="2:8" x14ac:dyDescent="0.2">
      <c r="B4" t="s">
        <v>476</v>
      </c>
      <c r="D4" t="s">
        <v>477</v>
      </c>
    </row>
    <row r="5" spans="2:8" x14ac:dyDescent="0.2">
      <c r="B5">
        <v>62</v>
      </c>
      <c r="F5" t="s">
        <v>478</v>
      </c>
    </row>
    <row r="6" spans="2:8" x14ac:dyDescent="0.2">
      <c r="B6">
        <v>65</v>
      </c>
      <c r="H6" t="e">
        <f>10/0</f>
        <v>#DIV/0!</v>
      </c>
    </row>
    <row r="7" spans="2:8" x14ac:dyDescent="0.2">
      <c r="B7">
        <v>74</v>
      </c>
    </row>
    <row r="8" spans="2:8" x14ac:dyDescent="0.2">
      <c r="B8">
        <v>55</v>
      </c>
    </row>
    <row r="9" spans="2:8" x14ac:dyDescent="0.2">
      <c r="B9">
        <v>56</v>
      </c>
    </row>
    <row r="10" spans="2:8" x14ac:dyDescent="0.2">
      <c r="B10">
        <v>86</v>
      </c>
    </row>
    <row r="11" spans="2:8" x14ac:dyDescent="0.2">
      <c r="B11">
        <v>56</v>
      </c>
    </row>
    <row r="13" spans="2:8" x14ac:dyDescent="0.2">
      <c r="B13">
        <v>61</v>
      </c>
    </row>
    <row r="14" spans="2:8" x14ac:dyDescent="0.2">
      <c r="B14">
        <v>55</v>
      </c>
    </row>
    <row r="16" spans="2:8" x14ac:dyDescent="0.2">
      <c r="C16" t="s">
        <v>339</v>
      </c>
      <c r="D16" t="s">
        <v>408</v>
      </c>
    </row>
    <row r="17" spans="3:10" x14ac:dyDescent="0.2">
      <c r="C17">
        <v>1</v>
      </c>
      <c r="D17">
        <v>1</v>
      </c>
      <c r="E17" t="s">
        <v>480</v>
      </c>
      <c r="J17" t="s">
        <v>486</v>
      </c>
    </row>
    <row r="18" spans="3:10" x14ac:dyDescent="0.2">
      <c r="C18">
        <v>2</v>
      </c>
      <c r="D18">
        <v>1</v>
      </c>
      <c r="E18" t="s">
        <v>431</v>
      </c>
    </row>
    <row r="19" spans="3:10" x14ac:dyDescent="0.2">
      <c r="C19">
        <v>3</v>
      </c>
      <c r="D19">
        <v>1</v>
      </c>
      <c r="E19" t="s">
        <v>481</v>
      </c>
    </row>
    <row r="20" spans="3:10" x14ac:dyDescent="0.2">
      <c r="C20">
        <v>4</v>
      </c>
      <c r="D20">
        <v>2</v>
      </c>
      <c r="E20" t="s">
        <v>482</v>
      </c>
    </row>
    <row r="21" spans="3:10" x14ac:dyDescent="0.2">
      <c r="C21">
        <v>5</v>
      </c>
      <c r="D21">
        <v>2</v>
      </c>
      <c r="E21" t="s">
        <v>483</v>
      </c>
    </row>
    <row r="22" spans="3:10" x14ac:dyDescent="0.2">
      <c r="C22">
        <v>6</v>
      </c>
      <c r="D22">
        <v>3</v>
      </c>
      <c r="E22" t="s">
        <v>484</v>
      </c>
    </row>
    <row r="23" spans="3:10" x14ac:dyDescent="0.2">
      <c r="C23">
        <v>7</v>
      </c>
      <c r="D23">
        <v>3</v>
      </c>
      <c r="E23" t="s">
        <v>479</v>
      </c>
    </row>
    <row r="24" spans="3:10" x14ac:dyDescent="0.2">
      <c r="C24">
        <v>99</v>
      </c>
      <c r="E24" t="s">
        <v>485</v>
      </c>
      <c r="G24" t="s">
        <v>157</v>
      </c>
    </row>
    <row r="38" spans="2:10" x14ac:dyDescent="0.2">
      <c r="B38" t="s">
        <v>487</v>
      </c>
      <c r="F38">
        <v>6000</v>
      </c>
      <c r="G38">
        <v>11000</v>
      </c>
    </row>
    <row r="39" spans="2:10" x14ac:dyDescent="0.2">
      <c r="C39" t="s">
        <v>488</v>
      </c>
      <c r="D39" t="s">
        <v>489</v>
      </c>
      <c r="E39" t="s">
        <v>490</v>
      </c>
      <c r="F39" t="s">
        <v>490</v>
      </c>
      <c r="G39" t="s">
        <v>490</v>
      </c>
    </row>
    <row r="40" spans="2:10" x14ac:dyDescent="0.2">
      <c r="C40" t="s">
        <v>488</v>
      </c>
      <c r="D40" t="s">
        <v>491</v>
      </c>
      <c r="E40" t="s">
        <v>492</v>
      </c>
    </row>
    <row r="41" spans="2:10" x14ac:dyDescent="0.2">
      <c r="C41" t="s">
        <v>488</v>
      </c>
      <c r="D41" t="s">
        <v>493</v>
      </c>
      <c r="E41" t="s">
        <v>494</v>
      </c>
    </row>
    <row r="42" spans="2:10" x14ac:dyDescent="0.2">
      <c r="C42" t="s">
        <v>488</v>
      </c>
      <c r="D42" t="s">
        <v>495</v>
      </c>
      <c r="E42" t="s">
        <v>496</v>
      </c>
    </row>
    <row r="45" spans="2:10" x14ac:dyDescent="0.2">
      <c r="B45" t="s">
        <v>487</v>
      </c>
    </row>
    <row r="46" spans="2:10" x14ac:dyDescent="0.2">
      <c r="C46" t="s">
        <v>488</v>
      </c>
      <c r="D46" t="s">
        <v>491</v>
      </c>
      <c r="E46" t="s">
        <v>492</v>
      </c>
    </row>
    <row r="47" spans="2:10" x14ac:dyDescent="0.2">
      <c r="C47" t="s">
        <v>488</v>
      </c>
      <c r="D47" t="s">
        <v>489</v>
      </c>
      <c r="E47" t="s">
        <v>490</v>
      </c>
    </row>
    <row r="48" spans="2:10" x14ac:dyDescent="0.2">
      <c r="C48" t="s">
        <v>488</v>
      </c>
      <c r="D48" t="s">
        <v>493</v>
      </c>
      <c r="E48" t="s">
        <v>494</v>
      </c>
      <c r="H48" t="s">
        <v>500</v>
      </c>
      <c r="I48" t="s">
        <v>502</v>
      </c>
      <c r="J48">
        <f>COUNT(I49:I53)</f>
        <v>2</v>
      </c>
    </row>
    <row r="49" spans="2:9" x14ac:dyDescent="0.2">
      <c r="C49" t="s">
        <v>488</v>
      </c>
      <c r="D49" t="s">
        <v>495</v>
      </c>
      <c r="E49" t="s">
        <v>496</v>
      </c>
      <c r="H49" t="s">
        <v>168</v>
      </c>
      <c r="I49">
        <v>99999</v>
      </c>
    </row>
    <row r="50" spans="2:9" x14ac:dyDescent="0.2">
      <c r="H50" t="s">
        <v>169</v>
      </c>
      <c r="I50" t="s">
        <v>128</v>
      </c>
    </row>
    <row r="51" spans="2:9" x14ac:dyDescent="0.2">
      <c r="H51" t="s">
        <v>168</v>
      </c>
      <c r="I51">
        <v>1</v>
      </c>
    </row>
    <row r="52" spans="2:9" x14ac:dyDescent="0.2">
      <c r="B52" t="s">
        <v>497</v>
      </c>
      <c r="H52" t="s">
        <v>169</v>
      </c>
      <c r="I52" t="s">
        <v>128</v>
      </c>
    </row>
    <row r="53" spans="2:9" x14ac:dyDescent="0.2">
      <c r="B53" t="s">
        <v>498</v>
      </c>
      <c r="H53" t="s">
        <v>501</v>
      </c>
      <c r="I53" t="s">
        <v>128</v>
      </c>
    </row>
    <row r="54" spans="2:9" x14ac:dyDescent="0.2">
      <c r="B54" t="s">
        <v>499</v>
      </c>
    </row>
    <row r="58" spans="2:9" x14ac:dyDescent="0.2">
      <c r="B58" t="s">
        <v>503</v>
      </c>
      <c r="D58" t="s">
        <v>504</v>
      </c>
      <c r="F58" t="s">
        <v>157</v>
      </c>
      <c r="H58" t="s">
        <v>506</v>
      </c>
    </row>
    <row r="59" spans="2:9" x14ac:dyDescent="0.2">
      <c r="B59" t="s">
        <v>505</v>
      </c>
      <c r="D59" t="s">
        <v>504</v>
      </c>
      <c r="F59" t="s">
        <v>506</v>
      </c>
      <c r="H59" t="s">
        <v>157</v>
      </c>
    </row>
    <row r="62" spans="2:9" x14ac:dyDescent="0.2">
      <c r="D62" t="s">
        <v>507</v>
      </c>
      <c r="E62" t="s">
        <v>508</v>
      </c>
      <c r="F62" t="s">
        <v>509</v>
      </c>
      <c r="G62" t="s">
        <v>178</v>
      </c>
    </row>
    <row r="63" spans="2:9" x14ac:dyDescent="0.2">
      <c r="D63" t="s">
        <v>510</v>
      </c>
      <c r="E63" t="s">
        <v>510</v>
      </c>
      <c r="F63" t="s">
        <v>510</v>
      </c>
      <c r="G63" t="s">
        <v>510</v>
      </c>
      <c r="H63" t="s">
        <v>507</v>
      </c>
    </row>
    <row r="64" spans="2:9" x14ac:dyDescent="0.2">
      <c r="D64" t="s">
        <v>511</v>
      </c>
      <c r="E64" t="s">
        <v>510</v>
      </c>
      <c r="F64" t="s">
        <v>510</v>
      </c>
      <c r="G64" t="s">
        <v>510</v>
      </c>
      <c r="H64" t="s">
        <v>508</v>
      </c>
    </row>
    <row r="65" spans="2:10" x14ac:dyDescent="0.2">
      <c r="D65" t="s">
        <v>511</v>
      </c>
      <c r="E65" t="s">
        <v>511</v>
      </c>
      <c r="F65" t="s">
        <v>510</v>
      </c>
      <c r="G65" t="s">
        <v>510</v>
      </c>
      <c r="H65" t="s">
        <v>509</v>
      </c>
    </row>
    <row r="66" spans="2:10" x14ac:dyDescent="0.2">
      <c r="D66" t="s">
        <v>511</v>
      </c>
      <c r="E66" t="s">
        <v>511</v>
      </c>
      <c r="F66" t="s">
        <v>511</v>
      </c>
      <c r="G66" t="s">
        <v>510</v>
      </c>
      <c r="H66" t="s">
        <v>178</v>
      </c>
    </row>
    <row r="67" spans="2:10" x14ac:dyDescent="0.2">
      <c r="D67" t="s">
        <v>511</v>
      </c>
      <c r="E67" t="s">
        <v>511</v>
      </c>
      <c r="F67" t="s">
        <v>511</v>
      </c>
      <c r="G67" t="s">
        <v>511</v>
      </c>
      <c r="H67" t="s">
        <v>128</v>
      </c>
    </row>
    <row r="71" spans="2:10" x14ac:dyDescent="0.2">
      <c r="D71" t="s">
        <v>512</v>
      </c>
      <c r="E71" t="s">
        <v>513</v>
      </c>
      <c r="F71" t="s">
        <v>514</v>
      </c>
      <c r="H71" t="s">
        <v>515</v>
      </c>
      <c r="I71" t="s">
        <v>516</v>
      </c>
      <c r="J71" t="s">
        <v>517</v>
      </c>
    </row>
    <row r="72" spans="2:10" x14ac:dyDescent="0.2">
      <c r="D72">
        <v>1</v>
      </c>
      <c r="E72">
        <v>2</v>
      </c>
      <c r="F72">
        <v>4</v>
      </c>
      <c r="H72">
        <f>MIN(D72:F72)</f>
        <v>1</v>
      </c>
    </row>
    <row r="73" spans="2:10" x14ac:dyDescent="0.2">
      <c r="D73">
        <v>2</v>
      </c>
      <c r="E73">
        <v>3</v>
      </c>
      <c r="F73">
        <v>5</v>
      </c>
    </row>
    <row r="74" spans="2:10" x14ac:dyDescent="0.2">
      <c r="D74">
        <v>3</v>
      </c>
      <c r="E74">
        <v>5</v>
      </c>
      <c r="F74">
        <v>6</v>
      </c>
    </row>
    <row r="75" spans="2:10" x14ac:dyDescent="0.2">
      <c r="B75" t="s">
        <v>302</v>
      </c>
    </row>
    <row r="76" spans="2:10" x14ac:dyDescent="0.2">
      <c r="B76" t="s">
        <v>518</v>
      </c>
      <c r="D76">
        <f>MIN(D72:D74)</f>
        <v>1</v>
      </c>
    </row>
    <row r="77" spans="2:10" x14ac:dyDescent="0.2">
      <c r="B77" t="s">
        <v>519</v>
      </c>
    </row>
    <row r="78" spans="2:10" x14ac:dyDescent="0.2">
      <c r="B78" t="s">
        <v>520</v>
      </c>
    </row>
    <row r="79" spans="2:10" x14ac:dyDescent="0.2">
      <c r="B79" t="s">
        <v>521</v>
      </c>
    </row>
    <row r="80" spans="2:10" x14ac:dyDescent="0.2">
      <c r="B80" t="s">
        <v>522</v>
      </c>
    </row>
    <row r="83" spans="2:7" x14ac:dyDescent="0.2">
      <c r="B83" t="s">
        <v>523</v>
      </c>
    </row>
    <row r="84" spans="2:7" x14ac:dyDescent="0.2">
      <c r="C84" t="s">
        <v>524</v>
      </c>
      <c r="E84" t="s">
        <v>526</v>
      </c>
    </row>
    <row r="85" spans="2:7" x14ac:dyDescent="0.2">
      <c r="C85" t="s">
        <v>525</v>
      </c>
      <c r="E85" t="s">
        <v>527</v>
      </c>
      <c r="G85" t="s">
        <v>528</v>
      </c>
    </row>
    <row r="86" spans="2:7" x14ac:dyDescent="0.2">
      <c r="G86" t="s">
        <v>529</v>
      </c>
    </row>
  </sheetData>
  <phoneticPr fontId="4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3C734-CCB7-0B42-85D2-92A7B2212926}">
  <dimension ref="B2:K126"/>
  <sheetViews>
    <sheetView topLeftCell="A79" zoomScale="200" zoomScaleNormal="200" workbookViewId="0">
      <selection activeCell="G90" sqref="G90"/>
    </sheetView>
  </sheetViews>
  <sheetFormatPr baseColWidth="10" defaultRowHeight="16" x14ac:dyDescent="0.2"/>
  <cols>
    <col min="3" max="3" width="13.6640625" bestFit="1" customWidth="1"/>
    <col min="4" max="4" width="17.5" bestFit="1" customWidth="1"/>
    <col min="5" max="5" width="19.1640625" bestFit="1" customWidth="1"/>
    <col min="6" max="6" width="21.83203125" bestFit="1" customWidth="1"/>
    <col min="7" max="7" width="20.5" bestFit="1" customWidth="1"/>
    <col min="8" max="8" width="24" bestFit="1" customWidth="1"/>
    <col min="9" max="9" width="19.5" bestFit="1" customWidth="1"/>
    <col min="11" max="11" width="17" customWidth="1"/>
  </cols>
  <sheetData>
    <row r="2" spans="2:8" x14ac:dyDescent="0.2">
      <c r="B2" t="s">
        <v>530</v>
      </c>
      <c r="D2" t="s">
        <v>531</v>
      </c>
    </row>
    <row r="5" spans="2:8" x14ac:dyDescent="0.2">
      <c r="B5" t="s">
        <v>532</v>
      </c>
      <c r="C5" t="s">
        <v>533</v>
      </c>
      <c r="E5" t="s">
        <v>201</v>
      </c>
      <c r="F5" t="s">
        <v>177</v>
      </c>
      <c r="G5" t="s">
        <v>202</v>
      </c>
    </row>
    <row r="6" spans="2:8" x14ac:dyDescent="0.2">
      <c r="B6">
        <v>2012</v>
      </c>
      <c r="C6">
        <v>456</v>
      </c>
      <c r="E6">
        <v>1</v>
      </c>
      <c r="F6">
        <v>1</v>
      </c>
      <c r="G6">
        <v>500</v>
      </c>
    </row>
    <row r="7" spans="2:8" x14ac:dyDescent="0.2">
      <c r="B7">
        <v>2012</v>
      </c>
      <c r="C7">
        <v>124</v>
      </c>
      <c r="E7">
        <v>2</v>
      </c>
      <c r="F7">
        <v>1</v>
      </c>
      <c r="G7">
        <v>653</v>
      </c>
    </row>
    <row r="8" spans="2:8" x14ac:dyDescent="0.2">
      <c r="B8">
        <v>2012</v>
      </c>
      <c r="C8">
        <v>365</v>
      </c>
      <c r="E8">
        <v>3</v>
      </c>
      <c r="F8">
        <v>2</v>
      </c>
      <c r="G8">
        <v>478</v>
      </c>
    </row>
    <row r="9" spans="2:8" x14ac:dyDescent="0.2">
      <c r="B9">
        <v>2012</v>
      </c>
      <c r="C9">
        <v>148</v>
      </c>
    </row>
    <row r="11" spans="2:8" x14ac:dyDescent="0.2">
      <c r="C11" t="s">
        <v>548</v>
      </c>
      <c r="F11" t="s">
        <v>582</v>
      </c>
    </row>
    <row r="12" spans="2:8" x14ac:dyDescent="0.2">
      <c r="B12" t="s">
        <v>532</v>
      </c>
      <c r="C12" t="s">
        <v>533</v>
      </c>
      <c r="E12" s="37" t="s">
        <v>534</v>
      </c>
      <c r="F12" t="s">
        <v>536</v>
      </c>
      <c r="H12" t="s">
        <v>537</v>
      </c>
    </row>
    <row r="13" spans="2:8" x14ac:dyDescent="0.2">
      <c r="B13">
        <v>2012</v>
      </c>
      <c r="C13">
        <v>456</v>
      </c>
      <c r="E13" s="38">
        <v>2012</v>
      </c>
      <c r="F13">
        <v>1093</v>
      </c>
      <c r="H13" t="s">
        <v>302</v>
      </c>
    </row>
    <row r="14" spans="2:8" x14ac:dyDescent="0.2">
      <c r="B14">
        <v>2013</v>
      </c>
      <c r="C14">
        <v>124</v>
      </c>
      <c r="H14" t="s">
        <v>518</v>
      </c>
    </row>
    <row r="15" spans="2:8" x14ac:dyDescent="0.2">
      <c r="B15">
        <v>2014</v>
      </c>
      <c r="C15">
        <v>365</v>
      </c>
      <c r="H15" t="s">
        <v>520</v>
      </c>
    </row>
    <row r="16" spans="2:8" x14ac:dyDescent="0.2">
      <c r="B16">
        <v>2015</v>
      </c>
      <c r="C16">
        <v>148</v>
      </c>
      <c r="H16" t="s">
        <v>519</v>
      </c>
    </row>
    <row r="17" spans="6:9" x14ac:dyDescent="0.2">
      <c r="H17" t="s">
        <v>538</v>
      </c>
    </row>
    <row r="21" spans="6:9" x14ac:dyDescent="0.2">
      <c r="F21" t="s">
        <v>539</v>
      </c>
      <c r="G21" t="s">
        <v>546</v>
      </c>
      <c r="H21" s="1" t="s">
        <v>548</v>
      </c>
      <c r="I21" t="s">
        <v>582</v>
      </c>
    </row>
    <row r="22" spans="6:9" x14ac:dyDescent="0.2">
      <c r="F22" t="s">
        <v>540</v>
      </c>
      <c r="G22" t="s">
        <v>544</v>
      </c>
      <c r="H22" t="s">
        <v>547</v>
      </c>
    </row>
    <row r="23" spans="6:9" x14ac:dyDescent="0.2">
      <c r="F23" t="s">
        <v>541</v>
      </c>
      <c r="G23" t="s">
        <v>545</v>
      </c>
      <c r="H23" t="s">
        <v>549</v>
      </c>
      <c r="I23" t="s">
        <v>551</v>
      </c>
    </row>
    <row r="24" spans="6:9" x14ac:dyDescent="0.2">
      <c r="F24" t="s">
        <v>542</v>
      </c>
      <c r="G24" t="s">
        <v>543</v>
      </c>
      <c r="H24" s="1" t="s">
        <v>550</v>
      </c>
      <c r="I24" t="s">
        <v>552</v>
      </c>
    </row>
    <row r="27" spans="6:9" x14ac:dyDescent="0.2">
      <c r="F27" t="s">
        <v>553</v>
      </c>
    </row>
    <row r="28" spans="6:9" x14ac:dyDescent="0.2">
      <c r="F28">
        <v>0</v>
      </c>
    </row>
    <row r="30" spans="6:9" x14ac:dyDescent="0.2">
      <c r="G30" t="s">
        <v>101</v>
      </c>
      <c r="H30" t="s">
        <v>554</v>
      </c>
    </row>
    <row r="31" spans="6:9" x14ac:dyDescent="0.2">
      <c r="F31" t="s">
        <v>302</v>
      </c>
      <c r="G31" t="s">
        <v>559</v>
      </c>
      <c r="H31" t="s">
        <v>559</v>
      </c>
    </row>
    <row r="32" spans="6:9" x14ac:dyDescent="0.2">
      <c r="F32" t="s">
        <v>555</v>
      </c>
      <c r="G32" t="s">
        <v>559</v>
      </c>
      <c r="H32" t="s">
        <v>560</v>
      </c>
    </row>
    <row r="33" spans="3:10" x14ac:dyDescent="0.2">
      <c r="F33" t="s">
        <v>556</v>
      </c>
      <c r="G33" t="s">
        <v>559</v>
      </c>
      <c r="H33" t="s">
        <v>560</v>
      </c>
    </row>
    <row r="34" spans="3:10" x14ac:dyDescent="0.2">
      <c r="F34" t="s">
        <v>557</v>
      </c>
      <c r="G34" t="s">
        <v>559</v>
      </c>
      <c r="H34" t="s">
        <v>560</v>
      </c>
    </row>
    <row r="35" spans="3:10" x14ac:dyDescent="0.2">
      <c r="F35" t="s">
        <v>558</v>
      </c>
      <c r="G35" t="s">
        <v>559</v>
      </c>
      <c r="H35" t="s">
        <v>560</v>
      </c>
    </row>
    <row r="37" spans="3:10" ht="17" thickBot="1" x14ac:dyDescent="0.25">
      <c r="C37" s="8"/>
    </row>
    <row r="38" spans="3:10" x14ac:dyDescent="0.2">
      <c r="J38" t="s">
        <v>561</v>
      </c>
    </row>
    <row r="41" spans="3:10" x14ac:dyDescent="0.2">
      <c r="H41" t="s">
        <v>562</v>
      </c>
    </row>
    <row r="46" spans="3:10" x14ac:dyDescent="0.2">
      <c r="J46" t="s">
        <v>564</v>
      </c>
    </row>
    <row r="49" spans="3:11" x14ac:dyDescent="0.2">
      <c r="D49" t="s">
        <v>563</v>
      </c>
    </row>
    <row r="56" spans="3:11" x14ac:dyDescent="0.2">
      <c r="D56">
        <v>2</v>
      </c>
      <c r="F56">
        <f>SUM(D56:D60)/5</f>
        <v>2</v>
      </c>
      <c r="G56">
        <f>AVERAGE(D56:D60)</f>
        <v>2</v>
      </c>
    </row>
    <row r="57" spans="3:11" x14ac:dyDescent="0.2">
      <c r="D57">
        <v>3</v>
      </c>
    </row>
    <row r="58" spans="3:11" x14ac:dyDescent="0.2">
      <c r="D58">
        <v>0</v>
      </c>
      <c r="F58">
        <f>SUM(D56:D60)</f>
        <v>10</v>
      </c>
    </row>
    <row r="59" spans="3:11" x14ac:dyDescent="0.2">
      <c r="D59">
        <v>2</v>
      </c>
    </row>
    <row r="60" spans="3:11" x14ac:dyDescent="0.2">
      <c r="D60">
        <v>3</v>
      </c>
    </row>
    <row r="63" spans="3:11" x14ac:dyDescent="0.2">
      <c r="C63" t="s">
        <v>201</v>
      </c>
      <c r="D63" t="s">
        <v>565</v>
      </c>
      <c r="E63" t="s">
        <v>566</v>
      </c>
      <c r="F63" t="s">
        <v>567</v>
      </c>
      <c r="G63" t="s">
        <v>500</v>
      </c>
      <c r="H63" t="s">
        <v>568</v>
      </c>
      <c r="I63" t="s">
        <v>569</v>
      </c>
      <c r="J63" t="s">
        <v>570</v>
      </c>
      <c r="K63" t="s">
        <v>571</v>
      </c>
    </row>
    <row r="64" spans="3:11" x14ac:dyDescent="0.2">
      <c r="C64">
        <v>1</v>
      </c>
      <c r="D64">
        <v>10770</v>
      </c>
      <c r="E64">
        <v>133</v>
      </c>
      <c r="F64" s="10">
        <v>45414</v>
      </c>
      <c r="G64" t="s">
        <v>572</v>
      </c>
      <c r="H64">
        <v>22033.22</v>
      </c>
      <c r="I64">
        <v>0</v>
      </c>
      <c r="J64">
        <v>22033.22</v>
      </c>
      <c r="K64">
        <v>7</v>
      </c>
    </row>
    <row r="65" spans="3:11" x14ac:dyDescent="0.2">
      <c r="C65">
        <v>2</v>
      </c>
      <c r="D65">
        <v>11061</v>
      </c>
      <c r="E65">
        <v>169</v>
      </c>
      <c r="F65" s="10">
        <v>45557</v>
      </c>
      <c r="G65" t="s">
        <v>573</v>
      </c>
      <c r="H65">
        <v>300772</v>
      </c>
      <c r="I65">
        <v>0</v>
      </c>
      <c r="J65">
        <v>300772</v>
      </c>
      <c r="K65">
        <v>1</v>
      </c>
    </row>
    <row r="66" spans="3:11" x14ac:dyDescent="0.2">
      <c r="C66">
        <v>3</v>
      </c>
      <c r="D66">
        <v>3958</v>
      </c>
      <c r="E66">
        <v>116</v>
      </c>
      <c r="F66" s="10">
        <v>45985</v>
      </c>
      <c r="G66" t="s">
        <v>574</v>
      </c>
      <c r="H66">
        <v>4314.3599999999997</v>
      </c>
      <c r="I66">
        <v>0</v>
      </c>
      <c r="J66">
        <v>4314.3599999999997</v>
      </c>
      <c r="K66">
        <v>8</v>
      </c>
    </row>
    <row r="67" spans="3:11" x14ac:dyDescent="0.2">
      <c r="C67">
        <v>4</v>
      </c>
      <c r="D67">
        <v>27898</v>
      </c>
      <c r="E67">
        <v>61</v>
      </c>
      <c r="F67" s="10">
        <v>46073</v>
      </c>
      <c r="G67" t="s">
        <v>574</v>
      </c>
      <c r="H67">
        <v>237279.22</v>
      </c>
      <c r="I67">
        <v>0</v>
      </c>
      <c r="J67">
        <v>237279.22</v>
      </c>
      <c r="K67">
        <v>7</v>
      </c>
    </row>
    <row r="68" spans="3:11" x14ac:dyDescent="0.2">
      <c r="C68">
        <v>5</v>
      </c>
      <c r="D68">
        <v>33879</v>
      </c>
      <c r="E68">
        <v>178</v>
      </c>
      <c r="F68" s="10">
        <v>45634</v>
      </c>
      <c r="G68" t="s">
        <v>574</v>
      </c>
      <c r="H68">
        <v>43836.23</v>
      </c>
      <c r="I68">
        <v>209.5</v>
      </c>
      <c r="J68">
        <v>43626.73</v>
      </c>
      <c r="K68">
        <v>1</v>
      </c>
    </row>
    <row r="69" spans="3:11" x14ac:dyDescent="0.2">
      <c r="C69">
        <v>6</v>
      </c>
      <c r="D69">
        <v>20084</v>
      </c>
      <c r="E69">
        <v>14</v>
      </c>
      <c r="F69" s="10">
        <v>45598</v>
      </c>
      <c r="G69" t="s">
        <v>575</v>
      </c>
      <c r="H69">
        <v>3882.28</v>
      </c>
      <c r="I69">
        <v>0</v>
      </c>
      <c r="J69">
        <v>3882.28</v>
      </c>
      <c r="K69">
        <v>8</v>
      </c>
    </row>
    <row r="70" spans="3:11" x14ac:dyDescent="0.2">
      <c r="C70">
        <v>7</v>
      </c>
      <c r="D70">
        <v>42553</v>
      </c>
      <c r="E70">
        <v>166</v>
      </c>
      <c r="F70" s="10">
        <v>45863</v>
      </c>
      <c r="G70" t="s">
        <v>576</v>
      </c>
      <c r="H70">
        <v>847.56</v>
      </c>
      <c r="I70">
        <v>0</v>
      </c>
      <c r="J70">
        <v>847.56</v>
      </c>
      <c r="K70">
        <v>4</v>
      </c>
    </row>
    <row r="71" spans="3:11" x14ac:dyDescent="0.2">
      <c r="C71">
        <v>8</v>
      </c>
      <c r="D71">
        <v>37055</v>
      </c>
      <c r="E71">
        <v>42</v>
      </c>
      <c r="F71" s="10">
        <v>45866</v>
      </c>
      <c r="G71" t="s">
        <v>574</v>
      </c>
      <c r="H71">
        <v>3455.06</v>
      </c>
      <c r="I71">
        <v>0</v>
      </c>
      <c r="J71">
        <v>3455.06</v>
      </c>
      <c r="K71">
        <v>2</v>
      </c>
    </row>
    <row r="72" spans="3:11" x14ac:dyDescent="0.2">
      <c r="C72">
        <v>9</v>
      </c>
      <c r="D72">
        <v>13976</v>
      </c>
      <c r="E72">
        <v>36</v>
      </c>
      <c r="F72" s="10">
        <v>45448</v>
      </c>
      <c r="G72" t="s">
        <v>576</v>
      </c>
      <c r="H72">
        <v>67490.759999999995</v>
      </c>
      <c r="I72">
        <v>0</v>
      </c>
      <c r="J72">
        <v>67490.759999999995</v>
      </c>
      <c r="K72">
        <v>1</v>
      </c>
    </row>
    <row r="73" spans="3:11" x14ac:dyDescent="0.2">
      <c r="C73">
        <v>10</v>
      </c>
      <c r="D73">
        <v>22261</v>
      </c>
      <c r="E73">
        <v>34</v>
      </c>
      <c r="F73" s="10">
        <v>45348</v>
      </c>
      <c r="G73" t="s">
        <v>574</v>
      </c>
      <c r="H73">
        <v>48007.27</v>
      </c>
      <c r="I73">
        <v>0</v>
      </c>
      <c r="J73">
        <v>48007.27</v>
      </c>
      <c r="K73">
        <v>9</v>
      </c>
    </row>
    <row r="74" spans="3:11" x14ac:dyDescent="0.2">
      <c r="C74">
        <v>11</v>
      </c>
      <c r="D74">
        <v>42410</v>
      </c>
      <c r="E74">
        <v>19</v>
      </c>
      <c r="F74" s="10">
        <v>45842</v>
      </c>
      <c r="G74" t="s">
        <v>574</v>
      </c>
      <c r="H74">
        <v>1622.49</v>
      </c>
      <c r="I74">
        <v>0</v>
      </c>
      <c r="J74">
        <v>1622.49</v>
      </c>
      <c r="K74">
        <v>4</v>
      </c>
    </row>
    <row r="75" spans="3:11" x14ac:dyDescent="0.2">
      <c r="C75">
        <v>12</v>
      </c>
      <c r="D75">
        <v>48872</v>
      </c>
      <c r="E75">
        <v>39</v>
      </c>
      <c r="F75" s="10">
        <v>45907</v>
      </c>
      <c r="G75" t="s">
        <v>572</v>
      </c>
      <c r="H75">
        <v>449562.01</v>
      </c>
      <c r="I75">
        <v>0</v>
      </c>
      <c r="J75">
        <v>449562.01</v>
      </c>
      <c r="K75">
        <v>9</v>
      </c>
    </row>
    <row r="76" spans="3:11" x14ac:dyDescent="0.2">
      <c r="C76">
        <v>13</v>
      </c>
      <c r="D76">
        <v>28199</v>
      </c>
      <c r="E76">
        <v>200</v>
      </c>
      <c r="F76" s="10">
        <v>45630</v>
      </c>
      <c r="G76" t="s">
        <v>574</v>
      </c>
      <c r="H76">
        <v>82979.64</v>
      </c>
      <c r="I76">
        <v>0</v>
      </c>
      <c r="J76">
        <v>82979.64</v>
      </c>
      <c r="K76">
        <v>7</v>
      </c>
    </row>
    <row r="77" spans="3:11" x14ac:dyDescent="0.2">
      <c r="C77">
        <v>14</v>
      </c>
      <c r="D77">
        <v>4905</v>
      </c>
      <c r="E77">
        <v>42</v>
      </c>
      <c r="F77" s="10">
        <v>45528</v>
      </c>
      <c r="G77" t="s">
        <v>573</v>
      </c>
      <c r="H77">
        <v>168717.69</v>
      </c>
      <c r="I77">
        <v>3346.1</v>
      </c>
      <c r="J77">
        <v>165371.59</v>
      </c>
      <c r="K77">
        <v>6</v>
      </c>
    </row>
    <row r="78" spans="3:11" x14ac:dyDescent="0.2">
      <c r="C78">
        <v>15</v>
      </c>
      <c r="D78">
        <v>24140</v>
      </c>
      <c r="E78">
        <v>36</v>
      </c>
      <c r="F78" s="10">
        <v>45776</v>
      </c>
      <c r="G78" t="s">
        <v>572</v>
      </c>
      <c r="H78">
        <v>153815.32</v>
      </c>
      <c r="I78">
        <v>0</v>
      </c>
      <c r="J78">
        <v>153815.32</v>
      </c>
      <c r="K78">
        <v>1</v>
      </c>
    </row>
    <row r="79" spans="3:11" x14ac:dyDescent="0.2">
      <c r="C79">
        <v>16</v>
      </c>
      <c r="D79">
        <v>40080</v>
      </c>
      <c r="E79">
        <v>114</v>
      </c>
      <c r="F79" s="10">
        <v>45339</v>
      </c>
      <c r="G79" t="s">
        <v>574</v>
      </c>
      <c r="H79">
        <v>1411.96</v>
      </c>
      <c r="I79">
        <v>0</v>
      </c>
      <c r="J79">
        <v>1411.96</v>
      </c>
      <c r="K79">
        <v>5</v>
      </c>
    </row>
    <row r="80" spans="3:11" x14ac:dyDescent="0.2">
      <c r="C80">
        <v>17</v>
      </c>
      <c r="D80">
        <v>1505</v>
      </c>
      <c r="E80">
        <v>95</v>
      </c>
      <c r="F80" s="10">
        <v>45623</v>
      </c>
      <c r="G80" t="s">
        <v>575</v>
      </c>
      <c r="H80">
        <v>5366.61</v>
      </c>
      <c r="I80">
        <v>0</v>
      </c>
      <c r="J80">
        <v>5366.61</v>
      </c>
      <c r="K80">
        <v>7</v>
      </c>
    </row>
    <row r="81" spans="3:11" x14ac:dyDescent="0.2">
      <c r="C81">
        <v>18</v>
      </c>
      <c r="D81">
        <v>49598</v>
      </c>
      <c r="E81">
        <v>5</v>
      </c>
      <c r="F81" s="10">
        <v>45695</v>
      </c>
      <c r="G81" t="s">
        <v>574</v>
      </c>
      <c r="H81">
        <v>3843.72</v>
      </c>
      <c r="I81">
        <v>0</v>
      </c>
      <c r="J81">
        <v>3843.72</v>
      </c>
      <c r="K81">
        <v>8</v>
      </c>
    </row>
    <row r="82" spans="3:11" x14ac:dyDescent="0.2">
      <c r="C82">
        <v>19</v>
      </c>
      <c r="D82">
        <v>20766</v>
      </c>
      <c r="E82">
        <v>146</v>
      </c>
      <c r="F82" s="10">
        <v>45716</v>
      </c>
      <c r="G82" t="s">
        <v>574</v>
      </c>
      <c r="H82">
        <v>41892.910000000003</v>
      </c>
      <c r="I82">
        <v>59.83</v>
      </c>
      <c r="J82">
        <v>41833.08</v>
      </c>
      <c r="K82">
        <v>2</v>
      </c>
    </row>
    <row r="83" spans="3:11" x14ac:dyDescent="0.2">
      <c r="C83">
        <v>20</v>
      </c>
      <c r="D83">
        <v>36851</v>
      </c>
      <c r="E83">
        <v>104</v>
      </c>
      <c r="F83" s="10">
        <v>46055</v>
      </c>
      <c r="G83" t="s">
        <v>574</v>
      </c>
      <c r="H83">
        <v>28801.24</v>
      </c>
      <c r="I83">
        <v>0</v>
      </c>
      <c r="J83">
        <v>28801.24</v>
      </c>
      <c r="K83">
        <v>2</v>
      </c>
    </row>
    <row r="87" spans="3:11" x14ac:dyDescent="0.2">
      <c r="C87" s="37" t="s">
        <v>534</v>
      </c>
      <c r="D87" t="s">
        <v>577</v>
      </c>
      <c r="E87" t="s">
        <v>578</v>
      </c>
      <c r="F87" t="s">
        <v>579</v>
      </c>
    </row>
    <row r="88" spans="3:11" x14ac:dyDescent="0.2">
      <c r="C88" s="38" t="s">
        <v>574</v>
      </c>
      <c r="D88">
        <v>11</v>
      </c>
      <c r="E88">
        <v>11</v>
      </c>
      <c r="F88">
        <v>497444.1</v>
      </c>
    </row>
    <row r="89" spans="3:11" x14ac:dyDescent="0.2">
      <c r="C89" s="38" t="s">
        <v>573</v>
      </c>
      <c r="D89">
        <v>2</v>
      </c>
      <c r="E89">
        <v>2</v>
      </c>
      <c r="F89">
        <v>469489.69</v>
      </c>
      <c r="H89" t="s">
        <v>580</v>
      </c>
    </row>
    <row r="90" spans="3:11" x14ac:dyDescent="0.2">
      <c r="C90" s="38" t="s">
        <v>572</v>
      </c>
      <c r="D90">
        <v>3</v>
      </c>
      <c r="E90">
        <v>3</v>
      </c>
      <c r="F90">
        <v>625410.55000000005</v>
      </c>
    </row>
    <row r="91" spans="3:11" x14ac:dyDescent="0.2">
      <c r="C91" s="38" t="s">
        <v>575</v>
      </c>
      <c r="D91">
        <v>2</v>
      </c>
      <c r="E91">
        <v>2</v>
      </c>
      <c r="F91">
        <v>9248.89</v>
      </c>
    </row>
    <row r="92" spans="3:11" x14ac:dyDescent="0.2">
      <c r="C92" s="38" t="s">
        <v>576</v>
      </c>
      <c r="D92">
        <v>2</v>
      </c>
      <c r="E92">
        <v>2</v>
      </c>
      <c r="F92">
        <v>68338.319999999992</v>
      </c>
    </row>
    <row r="93" spans="3:11" x14ac:dyDescent="0.2">
      <c r="C93" s="38" t="s">
        <v>535</v>
      </c>
      <c r="D93">
        <v>20</v>
      </c>
      <c r="E93">
        <v>20</v>
      </c>
      <c r="F93">
        <v>1669931.5500000003</v>
      </c>
    </row>
    <row r="95" spans="3:11" x14ac:dyDescent="0.2">
      <c r="E95" t="s">
        <v>258</v>
      </c>
      <c r="G95" t="s">
        <v>547</v>
      </c>
    </row>
    <row r="96" spans="3:11" x14ac:dyDescent="0.2">
      <c r="C96" s="1"/>
      <c r="D96" s="1"/>
      <c r="E96" s="1"/>
    </row>
    <row r="97" spans="3:7" x14ac:dyDescent="0.2">
      <c r="C97" s="1"/>
      <c r="D97" s="1"/>
      <c r="E97" s="1"/>
      <c r="F97" s="1"/>
      <c r="G97" s="1"/>
    </row>
    <row r="98" spans="3:7" x14ac:dyDescent="0.2">
      <c r="C98" s="39" t="s">
        <v>572</v>
      </c>
      <c r="E98" t="str" cm="1">
        <f t="array" ref="E98:E117">_xlfn._xlws.SORT(C98:C117)</f>
        <v>Delivered</v>
      </c>
      <c r="G98" t="str" cm="1">
        <f t="array" ref="G98:G102">_xlfn.UNIQUE(C98:C117)</f>
        <v>Out for Delivery</v>
      </c>
    </row>
    <row r="99" spans="3:7" x14ac:dyDescent="0.2">
      <c r="C99" s="40" t="s">
        <v>573</v>
      </c>
      <c r="E99" t="str">
        <v>Delivered</v>
      </c>
      <c r="G99" t="str">
        <v>Failed</v>
      </c>
    </row>
    <row r="100" spans="3:7" x14ac:dyDescent="0.2">
      <c r="C100" s="39" t="s">
        <v>574</v>
      </c>
      <c r="E100" t="str">
        <v>Delivered</v>
      </c>
      <c r="G100" t="str">
        <v>Delivered</v>
      </c>
    </row>
    <row r="101" spans="3:7" x14ac:dyDescent="0.2">
      <c r="C101" s="40" t="s">
        <v>574</v>
      </c>
      <c r="E101" t="str">
        <v>Delivered</v>
      </c>
      <c r="G101" t="str">
        <v>Processing</v>
      </c>
    </row>
    <row r="102" spans="3:7" x14ac:dyDescent="0.2">
      <c r="C102" s="39" t="s">
        <v>574</v>
      </c>
      <c r="E102" t="str">
        <v>Delivered</v>
      </c>
      <c r="G102" t="str">
        <v>Returned</v>
      </c>
    </row>
    <row r="103" spans="3:7" x14ac:dyDescent="0.2">
      <c r="C103" s="40" t="s">
        <v>575</v>
      </c>
      <c r="E103" t="str">
        <v>Delivered</v>
      </c>
    </row>
    <row r="104" spans="3:7" x14ac:dyDescent="0.2">
      <c r="C104" s="39" t="s">
        <v>576</v>
      </c>
      <c r="E104" t="str">
        <v>Delivered</v>
      </c>
    </row>
    <row r="105" spans="3:7" x14ac:dyDescent="0.2">
      <c r="C105" s="40" t="s">
        <v>574</v>
      </c>
      <c r="E105" t="str">
        <v>Delivered</v>
      </c>
    </row>
    <row r="106" spans="3:7" x14ac:dyDescent="0.2">
      <c r="C106" s="39" t="s">
        <v>576</v>
      </c>
      <c r="E106" t="str">
        <v>Delivered</v>
      </c>
    </row>
    <row r="107" spans="3:7" x14ac:dyDescent="0.2">
      <c r="C107" s="40" t="s">
        <v>574</v>
      </c>
      <c r="E107" t="str">
        <v>Delivered</v>
      </c>
    </row>
    <row r="108" spans="3:7" x14ac:dyDescent="0.2">
      <c r="C108" s="39" t="s">
        <v>574</v>
      </c>
      <c r="E108" t="str">
        <v>Delivered</v>
      </c>
    </row>
    <row r="109" spans="3:7" x14ac:dyDescent="0.2">
      <c r="C109" s="40" t="s">
        <v>572</v>
      </c>
      <c r="E109" t="str">
        <v>Failed</v>
      </c>
    </row>
    <row r="110" spans="3:7" x14ac:dyDescent="0.2">
      <c r="C110" s="39" t="s">
        <v>574</v>
      </c>
      <c r="E110" t="str">
        <v>Failed</v>
      </c>
    </row>
    <row r="111" spans="3:7" x14ac:dyDescent="0.2">
      <c r="C111" s="40" t="s">
        <v>573</v>
      </c>
      <c r="E111" t="str">
        <v>Out for Delivery</v>
      </c>
    </row>
    <row r="112" spans="3:7" x14ac:dyDescent="0.2">
      <c r="C112" s="39" t="s">
        <v>572</v>
      </c>
      <c r="E112" t="str">
        <v>Out for Delivery</v>
      </c>
    </row>
    <row r="113" spans="3:5" x14ac:dyDescent="0.2">
      <c r="C113" s="40" t="s">
        <v>574</v>
      </c>
      <c r="E113" t="str">
        <v>Out for Delivery</v>
      </c>
    </row>
    <row r="114" spans="3:5" x14ac:dyDescent="0.2">
      <c r="C114" s="39" t="s">
        <v>575</v>
      </c>
      <c r="E114" t="str">
        <v>Processing</v>
      </c>
    </row>
    <row r="115" spans="3:5" x14ac:dyDescent="0.2">
      <c r="C115" s="40" t="s">
        <v>574</v>
      </c>
      <c r="E115" t="str">
        <v>Processing</v>
      </c>
    </row>
    <row r="116" spans="3:5" x14ac:dyDescent="0.2">
      <c r="C116" s="39" t="s">
        <v>574</v>
      </c>
      <c r="E116" t="str">
        <v>Returned</v>
      </c>
    </row>
    <row r="117" spans="3:5" x14ac:dyDescent="0.2">
      <c r="C117" s="40" t="s">
        <v>574</v>
      </c>
      <c r="E117" t="str">
        <v>Returned</v>
      </c>
    </row>
    <row r="121" spans="3:5" x14ac:dyDescent="0.2">
      <c r="C121" t="s">
        <v>583</v>
      </c>
      <c r="E121" t="str">
        <f>_xlfn.TEXTJOIN(",",1,C121:C127)</f>
        <v>From,Where,Group bY,Having,Select,order by</v>
      </c>
    </row>
    <row r="122" spans="3:5" x14ac:dyDescent="0.2">
      <c r="C122" t="s">
        <v>548</v>
      </c>
    </row>
    <row r="123" spans="3:5" x14ac:dyDescent="0.2">
      <c r="C123" t="s">
        <v>581</v>
      </c>
    </row>
    <row r="124" spans="3:5" x14ac:dyDescent="0.2">
      <c r="C124" t="s">
        <v>582</v>
      </c>
    </row>
    <row r="125" spans="3:5" x14ac:dyDescent="0.2">
      <c r="C125" t="s">
        <v>274</v>
      </c>
    </row>
    <row r="126" spans="3:5" x14ac:dyDescent="0.2">
      <c r="C126" t="s">
        <v>584</v>
      </c>
    </row>
  </sheetData>
  <pageMargins left="0.7" right="0.7" top="0.75" bottom="0.75" header="0.3" footer="0.3"/>
  <drawing r:id="rId4"/>
  <tableParts count="2"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0109-2701-BC4B-AB2B-1617AC20DBFF}">
  <dimension ref="B2:R299"/>
  <sheetViews>
    <sheetView topLeftCell="A402" zoomScale="160" zoomScaleNormal="160" workbookViewId="0">
      <selection activeCell="H43" sqref="H43"/>
    </sheetView>
  </sheetViews>
  <sheetFormatPr baseColWidth="10" defaultRowHeight="16" x14ac:dyDescent="0.2"/>
  <cols>
    <col min="1" max="1" width="6.33203125" customWidth="1"/>
    <col min="4" max="4" width="29.33203125" bestFit="1" customWidth="1"/>
    <col min="5" max="5" width="16.5" bestFit="1" customWidth="1"/>
    <col min="6" max="6" width="13.83203125" bestFit="1" customWidth="1"/>
    <col min="7" max="7" width="13.33203125" bestFit="1" customWidth="1"/>
    <col min="8" max="8" width="17.5" bestFit="1" customWidth="1"/>
    <col min="10" max="10" width="28.1640625" bestFit="1" customWidth="1"/>
    <col min="11" max="11" width="13.6640625" bestFit="1" customWidth="1"/>
    <col min="12" max="12" width="4.6640625" bestFit="1" customWidth="1"/>
    <col min="13" max="13" width="4.1640625" bestFit="1" customWidth="1"/>
  </cols>
  <sheetData>
    <row r="2" spans="2:9" ht="17" thickBot="1" x14ac:dyDescent="0.25">
      <c r="B2" s="109" t="s">
        <v>585</v>
      </c>
      <c r="C2" s="109"/>
      <c r="D2" s="109"/>
      <c r="E2" s="109"/>
      <c r="G2" s="109" t="s">
        <v>586</v>
      </c>
      <c r="H2" s="109"/>
      <c r="I2" s="109"/>
    </row>
    <row r="3" spans="2:9" x14ac:dyDescent="0.2">
      <c r="B3" s="41"/>
      <c r="C3" s="42"/>
      <c r="D3" s="42"/>
      <c r="E3" s="43"/>
      <c r="G3" s="49"/>
      <c r="H3" s="50"/>
      <c r="I3" s="51"/>
    </row>
    <row r="4" spans="2:9" x14ac:dyDescent="0.2">
      <c r="B4" s="44"/>
      <c r="C4" s="1"/>
      <c r="D4" s="1"/>
      <c r="E4" s="45"/>
      <c r="G4" s="52"/>
      <c r="H4" s="53"/>
      <c r="I4" s="54"/>
    </row>
    <row r="5" spans="2:9" x14ac:dyDescent="0.2">
      <c r="B5" s="44"/>
      <c r="C5" s="1"/>
      <c r="D5" s="1"/>
      <c r="E5" s="45"/>
      <c r="G5" s="52"/>
      <c r="H5" s="53"/>
      <c r="I5" s="54"/>
    </row>
    <row r="6" spans="2:9" x14ac:dyDescent="0.2">
      <c r="B6" s="44"/>
      <c r="C6" s="1"/>
      <c r="D6" s="1"/>
      <c r="E6" s="45"/>
      <c r="G6" s="52"/>
      <c r="H6" s="53"/>
      <c r="I6" s="54"/>
    </row>
    <row r="7" spans="2:9" x14ac:dyDescent="0.2">
      <c r="B7" s="44"/>
      <c r="C7" s="1"/>
      <c r="D7" s="1"/>
      <c r="E7" s="45"/>
      <c r="G7" s="52"/>
      <c r="H7" s="53"/>
      <c r="I7" s="54"/>
    </row>
    <row r="8" spans="2:9" x14ac:dyDescent="0.2">
      <c r="B8" s="44"/>
      <c r="C8" s="1"/>
      <c r="D8" s="1"/>
      <c r="E8" s="45"/>
      <c r="G8" s="52"/>
      <c r="H8" s="53"/>
      <c r="I8" s="54"/>
    </row>
    <row r="9" spans="2:9" x14ac:dyDescent="0.2">
      <c r="B9" s="44"/>
      <c r="C9" s="1"/>
      <c r="D9" s="1"/>
      <c r="E9" s="45"/>
      <c r="G9" s="52"/>
      <c r="H9" s="53"/>
      <c r="I9" s="54"/>
    </row>
    <row r="10" spans="2:9" x14ac:dyDescent="0.2">
      <c r="B10" s="44"/>
      <c r="C10" s="1"/>
      <c r="D10" s="1"/>
      <c r="E10" s="45"/>
      <c r="G10" s="52"/>
      <c r="H10" s="53"/>
      <c r="I10" s="54"/>
    </row>
    <row r="11" spans="2:9" ht="17" thickBot="1" x14ac:dyDescent="0.25">
      <c r="B11" s="46"/>
      <c r="C11" s="47"/>
      <c r="D11" s="47"/>
      <c r="E11" s="48"/>
      <c r="G11" s="52"/>
      <c r="H11" s="53"/>
      <c r="I11" s="54"/>
    </row>
    <row r="12" spans="2:9" x14ac:dyDescent="0.2">
      <c r="G12" s="52"/>
      <c r="H12" s="53"/>
      <c r="I12" s="54"/>
    </row>
    <row r="13" spans="2:9" x14ac:dyDescent="0.2">
      <c r="G13" s="52"/>
      <c r="H13" s="53"/>
      <c r="I13" s="54"/>
    </row>
    <row r="14" spans="2:9" ht="17" thickBot="1" x14ac:dyDescent="0.25">
      <c r="G14" s="55"/>
      <c r="H14" s="56"/>
      <c r="I14" s="57"/>
    </row>
    <row r="16" spans="2:9" ht="17" thickBot="1" x14ac:dyDescent="0.25"/>
    <row r="17" spans="2:17" x14ac:dyDescent="0.2">
      <c r="B17" s="41"/>
      <c r="C17" s="42"/>
      <c r="D17" s="42"/>
      <c r="E17" s="43"/>
      <c r="F17" s="49"/>
      <c r="G17" s="50"/>
      <c r="H17" s="51"/>
    </row>
    <row r="18" spans="2:17" x14ac:dyDescent="0.2">
      <c r="B18" s="44"/>
      <c r="C18" s="1"/>
      <c r="D18" s="1"/>
      <c r="E18" s="45"/>
      <c r="F18" s="52"/>
      <c r="G18" s="53"/>
      <c r="H18" s="54"/>
    </row>
    <row r="19" spans="2:17" ht="17" thickBot="1" x14ac:dyDescent="0.25">
      <c r="B19" s="44"/>
      <c r="C19" s="1"/>
      <c r="D19" s="1"/>
      <c r="E19" s="45"/>
      <c r="F19" s="52"/>
      <c r="G19" s="53"/>
      <c r="H19" s="54"/>
    </row>
    <row r="20" spans="2:17" x14ac:dyDescent="0.2">
      <c r="B20" s="44"/>
      <c r="C20" s="1"/>
      <c r="D20" s="1"/>
      <c r="E20" s="45"/>
      <c r="F20" s="52"/>
      <c r="G20" s="53"/>
      <c r="H20" s="54"/>
      <c r="J20" s="110" t="s">
        <v>587</v>
      </c>
      <c r="K20" s="111"/>
      <c r="L20" s="111"/>
      <c r="M20" s="112"/>
      <c r="O20" t="s">
        <v>590</v>
      </c>
    </row>
    <row r="21" spans="2:17" x14ac:dyDescent="0.2">
      <c r="B21" s="44"/>
      <c r="C21" s="1"/>
      <c r="D21" s="1"/>
      <c r="E21" s="45"/>
      <c r="F21" s="52"/>
      <c r="G21" s="53"/>
      <c r="H21" s="54"/>
      <c r="J21" s="113"/>
      <c r="K21" s="114"/>
      <c r="L21" s="114"/>
      <c r="M21" s="115"/>
      <c r="P21" t="s">
        <v>592</v>
      </c>
    </row>
    <row r="22" spans="2:17" x14ac:dyDescent="0.2">
      <c r="B22" s="44"/>
      <c r="C22" s="1"/>
      <c r="D22" s="1"/>
      <c r="E22" s="45"/>
      <c r="F22" s="52"/>
      <c r="G22" s="53"/>
      <c r="H22" s="54"/>
      <c r="J22" s="113"/>
      <c r="K22" s="114"/>
      <c r="L22" s="114"/>
      <c r="M22" s="115"/>
      <c r="Q22" t="s">
        <v>594</v>
      </c>
    </row>
    <row r="23" spans="2:17" ht="17" thickBot="1" x14ac:dyDescent="0.25">
      <c r="B23" s="44"/>
      <c r="C23" s="1"/>
      <c r="D23" s="1"/>
      <c r="E23" s="45"/>
      <c r="F23" s="52"/>
      <c r="G23" s="53"/>
      <c r="H23" s="54"/>
      <c r="J23" s="116"/>
      <c r="K23" s="117"/>
      <c r="L23" s="117"/>
      <c r="M23" s="118"/>
      <c r="P23" t="s">
        <v>593</v>
      </c>
    </row>
    <row r="24" spans="2:17" x14ac:dyDescent="0.2">
      <c r="B24" s="44"/>
      <c r="C24" s="1"/>
      <c r="D24" s="1"/>
      <c r="E24" s="45"/>
      <c r="F24" s="52"/>
      <c r="G24" s="53"/>
      <c r="H24" s="54"/>
      <c r="J24" s="94" t="s">
        <v>589</v>
      </c>
      <c r="K24" s="95"/>
      <c r="L24" s="95"/>
      <c r="M24" s="96"/>
      <c r="O24" t="s">
        <v>591</v>
      </c>
    </row>
    <row r="25" spans="2:17" ht="17" thickBot="1" x14ac:dyDescent="0.25">
      <c r="B25" s="46"/>
      <c r="C25" s="47"/>
      <c r="D25" s="47"/>
      <c r="E25" s="48"/>
      <c r="F25" s="52"/>
      <c r="G25" s="53"/>
      <c r="H25" s="54"/>
      <c r="J25" s="97"/>
      <c r="K25" s="98"/>
      <c r="L25" s="98"/>
      <c r="M25" s="99"/>
    </row>
    <row r="26" spans="2:17" x14ac:dyDescent="0.2">
      <c r="F26" s="52"/>
      <c r="G26" s="53"/>
      <c r="H26" s="54"/>
      <c r="J26" s="97"/>
      <c r="K26" s="98"/>
      <c r="L26" s="98"/>
      <c r="M26" s="99"/>
    </row>
    <row r="27" spans="2:17" ht="17" thickBot="1" x14ac:dyDescent="0.25">
      <c r="F27" s="52"/>
      <c r="G27" s="53"/>
      <c r="H27" s="54"/>
      <c r="J27" s="100"/>
      <c r="K27" s="101"/>
      <c r="L27" s="101"/>
      <c r="M27" s="102"/>
      <c r="O27" t="s">
        <v>595</v>
      </c>
    </row>
    <row r="28" spans="2:17" ht="17" thickBot="1" x14ac:dyDescent="0.25">
      <c r="F28" s="55"/>
      <c r="G28" s="56"/>
      <c r="H28" s="57"/>
      <c r="O28" t="s">
        <v>596</v>
      </c>
    </row>
    <row r="32" spans="2:17" ht="17" thickBot="1" x14ac:dyDescent="0.25"/>
    <row r="33" spans="2:18" x14ac:dyDescent="0.2">
      <c r="B33" s="41" t="s">
        <v>98</v>
      </c>
      <c r="C33" s="42" t="s">
        <v>105</v>
      </c>
      <c r="D33" s="42" t="s">
        <v>103</v>
      </c>
      <c r="E33" s="43" t="s">
        <v>602</v>
      </c>
    </row>
    <row r="34" spans="2:18" ht="17" thickBot="1" x14ac:dyDescent="0.25">
      <c r="B34" s="44"/>
      <c r="C34" s="1"/>
      <c r="D34" s="1"/>
      <c r="E34" s="45"/>
      <c r="O34" t="s">
        <v>597</v>
      </c>
    </row>
    <row r="35" spans="2:18" x14ac:dyDescent="0.2">
      <c r="B35" s="44"/>
      <c r="C35" s="1"/>
      <c r="D35" s="1"/>
      <c r="E35" s="45"/>
      <c r="J35" s="110" t="s">
        <v>588</v>
      </c>
      <c r="K35" s="111"/>
      <c r="L35" s="111"/>
      <c r="M35" s="112"/>
    </row>
    <row r="36" spans="2:18" x14ac:dyDescent="0.2">
      <c r="B36" s="44"/>
      <c r="C36" s="1"/>
      <c r="D36" s="1"/>
      <c r="E36" s="45"/>
      <c r="J36" s="113"/>
      <c r="K36" s="114"/>
      <c r="L36" s="114"/>
      <c r="M36" s="115"/>
      <c r="O36" t="s">
        <v>598</v>
      </c>
      <c r="P36">
        <v>5</v>
      </c>
    </row>
    <row r="37" spans="2:18" x14ac:dyDescent="0.2">
      <c r="B37" s="44"/>
      <c r="C37" s="1"/>
      <c r="D37" s="1"/>
      <c r="E37" s="45"/>
      <c r="J37" s="113"/>
      <c r="K37" s="114"/>
      <c r="L37" s="114"/>
      <c r="M37" s="115"/>
      <c r="O37" t="s">
        <v>599</v>
      </c>
      <c r="P37">
        <v>11</v>
      </c>
    </row>
    <row r="38" spans="2:18" ht="17" thickBot="1" x14ac:dyDescent="0.25">
      <c r="B38" s="44"/>
      <c r="C38" s="1"/>
      <c r="D38" s="1"/>
      <c r="E38" s="45"/>
      <c r="J38" s="116"/>
      <c r="K38" s="117"/>
      <c r="L38" s="117"/>
      <c r="M38" s="118"/>
    </row>
    <row r="39" spans="2:18" x14ac:dyDescent="0.2">
      <c r="B39" s="44"/>
      <c r="C39" s="1"/>
      <c r="D39" s="1"/>
      <c r="E39" s="45"/>
      <c r="J39" s="94" t="s">
        <v>600</v>
      </c>
      <c r="K39" s="95"/>
      <c r="L39" s="95"/>
      <c r="M39" s="96"/>
      <c r="O39" t="s">
        <v>598</v>
      </c>
      <c r="P39">
        <v>7</v>
      </c>
      <c r="Q39">
        <v>2</v>
      </c>
      <c r="R39">
        <v>5</v>
      </c>
    </row>
    <row r="40" spans="2:18" x14ac:dyDescent="0.2">
      <c r="B40" s="44"/>
      <c r="C40" s="1"/>
      <c r="D40" s="1"/>
      <c r="E40" s="45"/>
      <c r="J40" s="97"/>
      <c r="K40" s="98"/>
      <c r="L40" s="98"/>
      <c r="M40" s="99"/>
      <c r="O40" t="s">
        <v>599</v>
      </c>
      <c r="P40">
        <v>7</v>
      </c>
      <c r="Q40">
        <v>2</v>
      </c>
      <c r="R40">
        <v>5</v>
      </c>
    </row>
    <row r="41" spans="2:18" ht="17" thickBot="1" x14ac:dyDescent="0.25">
      <c r="B41" s="46"/>
      <c r="C41" s="47"/>
      <c r="D41" s="47"/>
      <c r="E41" s="48"/>
      <c r="J41" s="97"/>
      <c r="K41" s="98"/>
      <c r="L41" s="98"/>
      <c r="M41" s="99"/>
    </row>
    <row r="42" spans="2:18" ht="17" thickBot="1" x14ac:dyDescent="0.25">
      <c r="B42" s="49" t="s">
        <v>98</v>
      </c>
      <c r="C42" s="50" t="s">
        <v>105</v>
      </c>
      <c r="D42" s="51" t="s">
        <v>103</v>
      </c>
      <c r="E42" s="59" t="s">
        <v>602</v>
      </c>
      <c r="J42" s="100"/>
      <c r="K42" s="101"/>
      <c r="L42" s="101"/>
      <c r="M42" s="102"/>
    </row>
    <row r="43" spans="2:18" x14ac:dyDescent="0.2">
      <c r="B43" s="52"/>
      <c r="C43" s="53"/>
      <c r="D43" s="54"/>
      <c r="E43" s="60"/>
      <c r="J43" s="94" t="s">
        <v>601</v>
      </c>
      <c r="K43" s="95"/>
      <c r="L43" s="95"/>
      <c r="M43" s="96"/>
    </row>
    <row r="44" spans="2:18" x14ac:dyDescent="0.2">
      <c r="B44" s="52"/>
      <c r="C44" s="53"/>
      <c r="D44" s="54"/>
      <c r="E44" s="60"/>
      <c r="J44" s="97"/>
      <c r="K44" s="98"/>
      <c r="L44" s="98"/>
      <c r="M44" s="99"/>
    </row>
    <row r="45" spans="2:18" x14ac:dyDescent="0.2">
      <c r="B45" s="52"/>
      <c r="C45" s="53"/>
      <c r="D45" s="54"/>
      <c r="E45" s="60"/>
      <c r="J45" s="97"/>
      <c r="K45" s="98"/>
      <c r="L45" s="98"/>
      <c r="M45" s="99"/>
    </row>
    <row r="46" spans="2:18" ht="17" thickBot="1" x14ac:dyDescent="0.25">
      <c r="B46" s="52"/>
      <c r="C46" s="53"/>
      <c r="D46" s="54"/>
      <c r="E46" s="60"/>
      <c r="J46" s="100"/>
      <c r="K46" s="101"/>
      <c r="L46" s="101"/>
      <c r="M46" s="102"/>
    </row>
    <row r="47" spans="2:18" x14ac:dyDescent="0.2">
      <c r="B47" s="52"/>
      <c r="C47" s="53"/>
      <c r="D47" s="54"/>
      <c r="E47" s="60"/>
    </row>
    <row r="48" spans="2:18" x14ac:dyDescent="0.2">
      <c r="B48" s="52"/>
      <c r="C48" s="53"/>
      <c r="D48" s="54"/>
      <c r="E48" s="60"/>
    </row>
    <row r="49" spans="2:16" x14ac:dyDescent="0.2">
      <c r="B49" s="52"/>
      <c r="C49" s="53"/>
      <c r="D49" s="54"/>
      <c r="E49" s="60"/>
    </row>
    <row r="50" spans="2:16" x14ac:dyDescent="0.2">
      <c r="B50" s="52"/>
      <c r="C50" s="53"/>
      <c r="D50" s="54"/>
      <c r="E50" s="60"/>
    </row>
    <row r="51" spans="2:16" x14ac:dyDescent="0.2">
      <c r="B51" s="52"/>
      <c r="C51" s="53"/>
      <c r="D51" s="54"/>
      <c r="E51" s="60"/>
    </row>
    <row r="52" spans="2:16" x14ac:dyDescent="0.2">
      <c r="B52" s="52"/>
      <c r="C52" s="53"/>
      <c r="D52" s="54"/>
      <c r="E52" s="60"/>
    </row>
    <row r="53" spans="2:16" ht="17" thickBot="1" x14ac:dyDescent="0.25">
      <c r="B53" s="55"/>
      <c r="C53" s="56"/>
      <c r="D53" s="57"/>
      <c r="E53" s="61"/>
    </row>
    <row r="57" spans="2:16" s="62" customFormat="1" x14ac:dyDescent="0.2">
      <c r="B57" s="62" t="s">
        <v>603</v>
      </c>
    </row>
    <row r="58" spans="2:16" ht="17" thickBot="1" x14ac:dyDescent="0.25"/>
    <row r="59" spans="2:16" x14ac:dyDescent="0.2">
      <c r="E59" s="103" t="s">
        <v>608</v>
      </c>
      <c r="F59" s="104"/>
      <c r="G59" s="104"/>
      <c r="H59" s="105"/>
      <c r="J59" t="s">
        <v>609</v>
      </c>
    </row>
    <row r="60" spans="2:16" ht="17" thickBot="1" x14ac:dyDescent="0.25">
      <c r="B60" t="s">
        <v>604</v>
      </c>
      <c r="E60" s="106"/>
      <c r="F60" s="107"/>
      <c r="G60" s="107"/>
      <c r="H60" s="108"/>
    </row>
    <row r="61" spans="2:16" x14ac:dyDescent="0.2">
      <c r="B61" t="s">
        <v>311</v>
      </c>
      <c r="J61" t="s">
        <v>610</v>
      </c>
      <c r="K61" t="s">
        <v>612</v>
      </c>
      <c r="L61" t="s">
        <v>615</v>
      </c>
      <c r="M61" t="s">
        <v>616</v>
      </c>
    </row>
    <row r="62" spans="2:16" ht="17" thickBot="1" x14ac:dyDescent="0.25">
      <c r="B62" t="s">
        <v>312</v>
      </c>
      <c r="E62" t="s">
        <v>627</v>
      </c>
      <c r="H62" t="s">
        <v>628</v>
      </c>
      <c r="J62" t="s">
        <v>610</v>
      </c>
      <c r="K62" t="s">
        <v>613</v>
      </c>
      <c r="N62">
        <v>2500</v>
      </c>
      <c r="O62" t="s">
        <v>617</v>
      </c>
    </row>
    <row r="63" spans="2:16" x14ac:dyDescent="0.2">
      <c r="B63" t="s">
        <v>605</v>
      </c>
      <c r="E63" s="2" t="s">
        <v>629</v>
      </c>
      <c r="F63" s="3"/>
      <c r="G63" s="3"/>
      <c r="H63" s="4" t="s">
        <v>634</v>
      </c>
      <c r="J63" t="s">
        <v>614</v>
      </c>
      <c r="K63" t="s">
        <v>613</v>
      </c>
      <c r="N63">
        <v>1800</v>
      </c>
      <c r="O63" t="s">
        <v>618</v>
      </c>
      <c r="P63" t="s">
        <v>619</v>
      </c>
    </row>
    <row r="64" spans="2:16" x14ac:dyDescent="0.2">
      <c r="E64" s="5" t="s">
        <v>630</v>
      </c>
      <c r="H64" s="6" t="s">
        <v>635</v>
      </c>
    </row>
    <row r="65" spans="2:14" x14ac:dyDescent="0.2">
      <c r="B65" t="s">
        <v>606</v>
      </c>
      <c r="D65" t="s">
        <v>640</v>
      </c>
      <c r="E65" s="5" t="s">
        <v>631</v>
      </c>
      <c r="H65" s="6" t="s">
        <v>636</v>
      </c>
      <c r="J65">
        <v>2000</v>
      </c>
      <c r="K65" t="s">
        <v>624</v>
      </c>
    </row>
    <row r="66" spans="2:14" x14ac:dyDescent="0.2">
      <c r="E66" s="5" t="s">
        <v>632</v>
      </c>
      <c r="H66" s="6" t="s">
        <v>637</v>
      </c>
      <c r="J66">
        <v>2016</v>
      </c>
      <c r="K66" t="s">
        <v>613</v>
      </c>
    </row>
    <row r="67" spans="2:14" x14ac:dyDescent="0.2">
      <c r="B67" t="s">
        <v>607</v>
      </c>
      <c r="E67" s="5" t="s">
        <v>633</v>
      </c>
      <c r="H67" s="6" t="s">
        <v>638</v>
      </c>
      <c r="J67">
        <v>2018</v>
      </c>
      <c r="K67" t="s">
        <v>620</v>
      </c>
      <c r="N67" t="s">
        <v>625</v>
      </c>
    </row>
    <row r="68" spans="2:14" ht="17" thickBot="1" x14ac:dyDescent="0.25">
      <c r="E68" s="7"/>
      <c r="F68" s="8" t="s">
        <v>639</v>
      </c>
      <c r="G68" s="8"/>
      <c r="H68" s="9"/>
      <c r="J68">
        <v>2020</v>
      </c>
      <c r="K68" t="s">
        <v>621</v>
      </c>
      <c r="N68" t="s">
        <v>626</v>
      </c>
    </row>
    <row r="69" spans="2:14" x14ac:dyDescent="0.2">
      <c r="J69">
        <v>2020</v>
      </c>
      <c r="K69" t="s">
        <v>622</v>
      </c>
    </row>
    <row r="70" spans="2:14" x14ac:dyDescent="0.2">
      <c r="J70">
        <v>2022</v>
      </c>
      <c r="K70" t="s">
        <v>613</v>
      </c>
    </row>
    <row r="71" spans="2:14" x14ac:dyDescent="0.2">
      <c r="E71" t="s">
        <v>629</v>
      </c>
      <c r="H71" t="s">
        <v>634</v>
      </c>
      <c r="J71">
        <v>2023</v>
      </c>
      <c r="K71" t="s">
        <v>623</v>
      </c>
    </row>
    <row r="72" spans="2:14" x14ac:dyDescent="0.2">
      <c r="H72" t="s">
        <v>635</v>
      </c>
      <c r="J72">
        <v>2026</v>
      </c>
      <c r="K72" t="s">
        <v>614</v>
      </c>
    </row>
    <row r="75" spans="2:14" x14ac:dyDescent="0.2">
      <c r="E75" t="s">
        <v>630</v>
      </c>
      <c r="H75" t="s">
        <v>636</v>
      </c>
    </row>
    <row r="78" spans="2:14" ht="17" thickBot="1" x14ac:dyDescent="0.25"/>
    <row r="79" spans="2:14" x14ac:dyDescent="0.2">
      <c r="E79" s="2" t="s">
        <v>629</v>
      </c>
      <c r="F79" s="3"/>
      <c r="G79" s="3"/>
      <c r="H79" s="4" t="s">
        <v>634</v>
      </c>
    </row>
    <row r="80" spans="2:14" x14ac:dyDescent="0.2">
      <c r="D80" t="s">
        <v>641</v>
      </c>
      <c r="E80" s="5" t="s">
        <v>630</v>
      </c>
      <c r="H80" s="6" t="s">
        <v>635</v>
      </c>
    </row>
    <row r="81" spans="4:9" x14ac:dyDescent="0.2">
      <c r="E81" s="5" t="s">
        <v>639</v>
      </c>
      <c r="H81" s="6" t="s">
        <v>636</v>
      </c>
    </row>
    <row r="82" spans="4:9" ht="17" thickBot="1" x14ac:dyDescent="0.25">
      <c r="E82" s="7"/>
      <c r="F82" s="8"/>
      <c r="G82" s="8"/>
      <c r="H82" s="9" t="s">
        <v>639</v>
      </c>
    </row>
    <row r="85" spans="4:9" ht="17" thickBot="1" x14ac:dyDescent="0.25"/>
    <row r="86" spans="4:9" x14ac:dyDescent="0.2">
      <c r="E86" s="21" t="s">
        <v>629</v>
      </c>
    </row>
    <row r="87" spans="4:9" x14ac:dyDescent="0.2">
      <c r="E87" s="58" t="s">
        <v>630</v>
      </c>
    </row>
    <row r="88" spans="4:9" x14ac:dyDescent="0.2">
      <c r="D88" t="s">
        <v>311</v>
      </c>
      <c r="E88" s="58" t="s">
        <v>631</v>
      </c>
    </row>
    <row r="89" spans="4:9" x14ac:dyDescent="0.2">
      <c r="E89" s="58" t="s">
        <v>632</v>
      </c>
    </row>
    <row r="90" spans="4:9" x14ac:dyDescent="0.2">
      <c r="E90" s="58" t="s">
        <v>633</v>
      </c>
    </row>
    <row r="91" spans="4:9" ht="17" thickBot="1" x14ac:dyDescent="0.25">
      <c r="E91" s="22" t="s">
        <v>639</v>
      </c>
    </row>
    <row r="92" spans="4:9" ht="17" thickBot="1" x14ac:dyDescent="0.25"/>
    <row r="93" spans="4:9" x14ac:dyDescent="0.2">
      <c r="H93" s="21" t="s">
        <v>634</v>
      </c>
    </row>
    <row r="94" spans="4:9" x14ac:dyDescent="0.2">
      <c r="H94" s="58" t="s">
        <v>635</v>
      </c>
    </row>
    <row r="95" spans="4:9" x14ac:dyDescent="0.2">
      <c r="H95" s="58" t="s">
        <v>636</v>
      </c>
      <c r="I95" t="s">
        <v>312</v>
      </c>
    </row>
    <row r="96" spans="4:9" x14ac:dyDescent="0.2">
      <c r="H96" s="58" t="s">
        <v>637</v>
      </c>
    </row>
    <row r="97" spans="3:9" x14ac:dyDescent="0.2">
      <c r="H97" s="58" t="s">
        <v>638</v>
      </c>
    </row>
    <row r="98" spans="3:9" ht="17" thickBot="1" x14ac:dyDescent="0.25">
      <c r="H98" s="22" t="s">
        <v>639</v>
      </c>
    </row>
    <row r="101" spans="3:9" x14ac:dyDescent="0.2">
      <c r="C101" t="s">
        <v>642</v>
      </c>
      <c r="G101" t="s">
        <v>643</v>
      </c>
    </row>
    <row r="102" spans="3:9" x14ac:dyDescent="0.2">
      <c r="C102" t="s">
        <v>277</v>
      </c>
      <c r="D102" t="s">
        <v>80</v>
      </c>
      <c r="G102" t="s">
        <v>277</v>
      </c>
      <c r="H102" t="s">
        <v>80</v>
      </c>
      <c r="I102" t="s">
        <v>644</v>
      </c>
    </row>
    <row r="103" spans="3:9" x14ac:dyDescent="0.2">
      <c r="C103">
        <v>1</v>
      </c>
      <c r="D103" t="s">
        <v>611</v>
      </c>
      <c r="G103">
        <v>2</v>
      </c>
      <c r="H103" t="s">
        <v>652</v>
      </c>
    </row>
    <row r="104" spans="3:9" x14ac:dyDescent="0.2">
      <c r="C104">
        <v>1</v>
      </c>
      <c r="D104" t="s">
        <v>645</v>
      </c>
      <c r="G104">
        <v>2</v>
      </c>
      <c r="H104" t="s">
        <v>653</v>
      </c>
    </row>
    <row r="105" spans="3:9" x14ac:dyDescent="0.2">
      <c r="C105">
        <v>2</v>
      </c>
      <c r="D105" t="s">
        <v>646</v>
      </c>
      <c r="G105">
        <v>2</v>
      </c>
      <c r="H105" t="s">
        <v>654</v>
      </c>
    </row>
    <row r="106" spans="3:9" x14ac:dyDescent="0.2">
      <c r="C106">
        <v>2</v>
      </c>
      <c r="D106" t="s">
        <v>647</v>
      </c>
      <c r="G106">
        <v>3</v>
      </c>
      <c r="H106" t="s">
        <v>510</v>
      </c>
    </row>
    <row r="107" spans="3:9" x14ac:dyDescent="0.2">
      <c r="C107">
        <v>3</v>
      </c>
      <c r="D107" t="s">
        <v>648</v>
      </c>
      <c r="G107">
        <v>3</v>
      </c>
      <c r="H107" t="s">
        <v>655</v>
      </c>
    </row>
    <row r="108" spans="3:9" x14ac:dyDescent="0.2">
      <c r="C108">
        <v>3</v>
      </c>
      <c r="D108" t="s">
        <v>649</v>
      </c>
      <c r="G108">
        <v>5</v>
      </c>
      <c r="H108" t="s">
        <v>656</v>
      </c>
    </row>
    <row r="109" spans="3:9" x14ac:dyDescent="0.2">
      <c r="C109">
        <v>3</v>
      </c>
      <c r="D109" t="s">
        <v>650</v>
      </c>
      <c r="G109">
        <v>5</v>
      </c>
      <c r="H109" t="s">
        <v>657</v>
      </c>
    </row>
    <row r="110" spans="3:9" x14ac:dyDescent="0.2">
      <c r="C110">
        <v>4</v>
      </c>
      <c r="D110" t="s">
        <v>651</v>
      </c>
      <c r="G110">
        <v>6</v>
      </c>
      <c r="H110" t="s">
        <v>658</v>
      </c>
    </row>
    <row r="114" spans="3:8" ht="17" thickBot="1" x14ac:dyDescent="0.25">
      <c r="C114" t="s">
        <v>642</v>
      </c>
      <c r="E114" t="s">
        <v>643</v>
      </c>
    </row>
    <row r="115" spans="3:8" ht="17" thickBot="1" x14ac:dyDescent="0.25">
      <c r="C115" s="2" t="s">
        <v>277</v>
      </c>
      <c r="D115" s="3" t="s">
        <v>80</v>
      </c>
      <c r="E115" s="3" t="s">
        <v>277</v>
      </c>
      <c r="F115" s="4" t="s">
        <v>80</v>
      </c>
    </row>
    <row r="116" spans="3:8" x14ac:dyDescent="0.2">
      <c r="C116" s="72">
        <v>2</v>
      </c>
      <c r="D116" s="73" t="s">
        <v>646</v>
      </c>
      <c r="E116" s="73">
        <v>2</v>
      </c>
      <c r="F116" s="74" t="s">
        <v>652</v>
      </c>
    </row>
    <row r="117" spans="3:8" x14ac:dyDescent="0.2">
      <c r="C117" s="78">
        <v>2</v>
      </c>
      <c r="D117" s="79" t="s">
        <v>646</v>
      </c>
      <c r="E117" s="79">
        <v>2</v>
      </c>
      <c r="F117" s="80" t="s">
        <v>653</v>
      </c>
    </row>
    <row r="118" spans="3:8" ht="17" thickBot="1" x14ac:dyDescent="0.25">
      <c r="C118" s="75">
        <v>2</v>
      </c>
      <c r="D118" s="76" t="s">
        <v>646</v>
      </c>
      <c r="E118" s="76">
        <v>2</v>
      </c>
      <c r="F118" s="77" t="s">
        <v>654</v>
      </c>
    </row>
    <row r="119" spans="3:8" x14ac:dyDescent="0.2">
      <c r="C119" s="72">
        <v>2</v>
      </c>
      <c r="D119" s="73" t="s">
        <v>647</v>
      </c>
      <c r="E119" s="73">
        <v>2</v>
      </c>
      <c r="F119" s="74" t="s">
        <v>652</v>
      </c>
    </row>
    <row r="120" spans="3:8" x14ac:dyDescent="0.2">
      <c r="C120" s="78">
        <v>2</v>
      </c>
      <c r="D120" s="79" t="s">
        <v>647</v>
      </c>
      <c r="E120" s="79">
        <v>2</v>
      </c>
      <c r="F120" s="80" t="s">
        <v>653</v>
      </c>
      <c r="H120" t="s">
        <v>659</v>
      </c>
    </row>
    <row r="121" spans="3:8" ht="17" thickBot="1" x14ac:dyDescent="0.25">
      <c r="C121" s="75">
        <v>2</v>
      </c>
      <c r="D121" s="76" t="s">
        <v>647</v>
      </c>
      <c r="E121" s="76">
        <v>2</v>
      </c>
      <c r="F121" s="77" t="s">
        <v>654</v>
      </c>
      <c r="H121" t="s">
        <v>660</v>
      </c>
    </row>
    <row r="122" spans="3:8" x14ac:dyDescent="0.2">
      <c r="C122" s="72">
        <v>3</v>
      </c>
      <c r="D122" s="73" t="s">
        <v>648</v>
      </c>
      <c r="E122" s="73">
        <v>3</v>
      </c>
      <c r="F122" s="74" t="s">
        <v>510</v>
      </c>
    </row>
    <row r="123" spans="3:8" ht="17" thickBot="1" x14ac:dyDescent="0.25">
      <c r="C123" s="75">
        <v>3</v>
      </c>
      <c r="D123" s="76" t="s">
        <v>648</v>
      </c>
      <c r="E123" s="76">
        <v>3</v>
      </c>
      <c r="F123" s="77" t="s">
        <v>655</v>
      </c>
    </row>
    <row r="124" spans="3:8" x14ac:dyDescent="0.2">
      <c r="C124" s="72">
        <v>3</v>
      </c>
      <c r="D124" s="73" t="s">
        <v>649</v>
      </c>
      <c r="E124" s="73">
        <v>3</v>
      </c>
      <c r="F124" s="74" t="s">
        <v>510</v>
      </c>
    </row>
    <row r="125" spans="3:8" ht="17" thickBot="1" x14ac:dyDescent="0.25">
      <c r="C125" s="75">
        <v>3</v>
      </c>
      <c r="D125" s="76" t="s">
        <v>649</v>
      </c>
      <c r="E125" s="76">
        <v>3</v>
      </c>
      <c r="F125" s="77" t="s">
        <v>655</v>
      </c>
    </row>
    <row r="126" spans="3:8" x14ac:dyDescent="0.2">
      <c r="C126" s="78">
        <v>3</v>
      </c>
      <c r="D126" s="79" t="s">
        <v>650</v>
      </c>
      <c r="E126" s="79">
        <v>3</v>
      </c>
      <c r="F126" s="80" t="s">
        <v>510</v>
      </c>
    </row>
    <row r="127" spans="3:8" ht="17" thickBot="1" x14ac:dyDescent="0.25">
      <c r="C127" s="75">
        <v>3</v>
      </c>
      <c r="D127" s="76" t="s">
        <v>650</v>
      </c>
      <c r="E127" s="76">
        <v>3</v>
      </c>
      <c r="F127" s="77" t="s">
        <v>655</v>
      </c>
    </row>
    <row r="130" spans="3:8" ht="17" thickBot="1" x14ac:dyDescent="0.25">
      <c r="C130" t="s">
        <v>642</v>
      </c>
      <c r="E130" t="s">
        <v>643</v>
      </c>
    </row>
    <row r="131" spans="3:8" ht="17" thickBot="1" x14ac:dyDescent="0.25">
      <c r="C131" s="14" t="s">
        <v>277</v>
      </c>
      <c r="D131" s="15" t="s">
        <v>80</v>
      </c>
      <c r="E131" s="15" t="s">
        <v>277</v>
      </c>
      <c r="F131" s="16" t="s">
        <v>80</v>
      </c>
    </row>
    <row r="132" spans="3:8" x14ac:dyDescent="0.2">
      <c r="C132" s="81">
        <v>1</v>
      </c>
      <c r="D132" s="82" t="s">
        <v>611</v>
      </c>
      <c r="E132" s="82" t="s">
        <v>157</v>
      </c>
      <c r="F132" s="83" t="s">
        <v>157</v>
      </c>
    </row>
    <row r="133" spans="3:8" ht="17" thickBot="1" x14ac:dyDescent="0.25">
      <c r="C133" s="84">
        <v>1</v>
      </c>
      <c r="D133" s="85" t="s">
        <v>645</v>
      </c>
      <c r="E133" s="85" t="s">
        <v>157</v>
      </c>
      <c r="F133" s="86" t="s">
        <v>157</v>
      </c>
    </row>
    <row r="134" spans="3:8" x14ac:dyDescent="0.2">
      <c r="C134" s="72">
        <v>2</v>
      </c>
      <c r="D134" s="73" t="s">
        <v>646</v>
      </c>
      <c r="E134" s="73">
        <v>2</v>
      </c>
      <c r="F134" s="74" t="s">
        <v>652</v>
      </c>
    </row>
    <row r="135" spans="3:8" x14ac:dyDescent="0.2">
      <c r="C135" s="78">
        <v>2</v>
      </c>
      <c r="D135" s="79" t="s">
        <v>646</v>
      </c>
      <c r="E135" s="79">
        <v>2</v>
      </c>
      <c r="F135" s="80" t="s">
        <v>653</v>
      </c>
    </row>
    <row r="136" spans="3:8" ht="17" thickBot="1" x14ac:dyDescent="0.25">
      <c r="C136" s="75">
        <v>2</v>
      </c>
      <c r="D136" s="76" t="s">
        <v>646</v>
      </c>
      <c r="E136" s="76">
        <v>2</v>
      </c>
      <c r="F136" s="77" t="s">
        <v>654</v>
      </c>
      <c r="H136" t="s">
        <v>661</v>
      </c>
    </row>
    <row r="137" spans="3:8" x14ac:dyDescent="0.2">
      <c r="C137" s="72">
        <v>2</v>
      </c>
      <c r="D137" s="73" t="s">
        <v>647</v>
      </c>
      <c r="E137" s="73">
        <v>2</v>
      </c>
      <c r="F137" s="74" t="s">
        <v>652</v>
      </c>
      <c r="H137" t="s">
        <v>662</v>
      </c>
    </row>
    <row r="138" spans="3:8" x14ac:dyDescent="0.2">
      <c r="C138" s="78">
        <v>2</v>
      </c>
      <c r="D138" s="79" t="s">
        <v>647</v>
      </c>
      <c r="E138" s="79">
        <v>2</v>
      </c>
      <c r="F138" s="80" t="s">
        <v>653</v>
      </c>
      <c r="H138" t="s">
        <v>663</v>
      </c>
    </row>
    <row r="139" spans="3:8" ht="17" thickBot="1" x14ac:dyDescent="0.25">
      <c r="C139" s="75">
        <v>2</v>
      </c>
      <c r="D139" s="76" t="s">
        <v>647</v>
      </c>
      <c r="E139" s="76">
        <v>2</v>
      </c>
      <c r="F139" s="77" t="s">
        <v>654</v>
      </c>
      <c r="H139" t="s">
        <v>664</v>
      </c>
    </row>
    <row r="140" spans="3:8" x14ac:dyDescent="0.2">
      <c r="C140" s="72">
        <v>3</v>
      </c>
      <c r="D140" s="73" t="s">
        <v>648</v>
      </c>
      <c r="E140" s="73">
        <v>3</v>
      </c>
      <c r="F140" s="74" t="s">
        <v>510</v>
      </c>
    </row>
    <row r="141" spans="3:8" ht="17" thickBot="1" x14ac:dyDescent="0.25">
      <c r="C141" s="75">
        <v>3</v>
      </c>
      <c r="D141" s="76" t="s">
        <v>648</v>
      </c>
      <c r="E141" s="76">
        <v>3</v>
      </c>
      <c r="F141" s="77" t="s">
        <v>655</v>
      </c>
    </row>
    <row r="142" spans="3:8" x14ac:dyDescent="0.2">
      <c r="C142" s="72">
        <v>3</v>
      </c>
      <c r="D142" s="73" t="s">
        <v>649</v>
      </c>
      <c r="E142" s="73">
        <v>3</v>
      </c>
      <c r="F142" s="74" t="s">
        <v>510</v>
      </c>
    </row>
    <row r="143" spans="3:8" ht="17" thickBot="1" x14ac:dyDescent="0.25">
      <c r="C143" s="75">
        <v>3</v>
      </c>
      <c r="D143" s="76" t="s">
        <v>649</v>
      </c>
      <c r="E143" s="76">
        <v>3</v>
      </c>
      <c r="F143" s="77" t="s">
        <v>655</v>
      </c>
    </row>
    <row r="144" spans="3:8" x14ac:dyDescent="0.2">
      <c r="C144" s="78">
        <v>3</v>
      </c>
      <c r="D144" s="79" t="s">
        <v>650</v>
      </c>
      <c r="E144" s="79">
        <v>3</v>
      </c>
      <c r="F144" s="80" t="s">
        <v>510</v>
      </c>
    </row>
    <row r="145" spans="3:6" ht="17" thickBot="1" x14ac:dyDescent="0.25">
      <c r="C145" s="75">
        <v>3</v>
      </c>
      <c r="D145" s="76" t="s">
        <v>650</v>
      </c>
      <c r="E145" s="76">
        <v>3</v>
      </c>
      <c r="F145" s="77" t="s">
        <v>655</v>
      </c>
    </row>
    <row r="146" spans="3:6" ht="17" thickBot="1" x14ac:dyDescent="0.25">
      <c r="C146" s="87">
        <v>4</v>
      </c>
      <c r="D146" s="88" t="s">
        <v>651</v>
      </c>
      <c r="E146" s="88" t="s">
        <v>157</v>
      </c>
      <c r="F146" s="89" t="s">
        <v>157</v>
      </c>
    </row>
    <row r="157" spans="3:6" ht="17" thickBot="1" x14ac:dyDescent="0.25">
      <c r="C157" t="s">
        <v>642</v>
      </c>
      <c r="E157" t="s">
        <v>643</v>
      </c>
    </row>
    <row r="158" spans="3:6" ht="17" thickBot="1" x14ac:dyDescent="0.25">
      <c r="C158" s="14" t="s">
        <v>277</v>
      </c>
      <c r="D158" s="15" t="s">
        <v>80</v>
      </c>
      <c r="E158" s="15" t="s">
        <v>277</v>
      </c>
      <c r="F158" s="16" t="s">
        <v>80</v>
      </c>
    </row>
    <row r="159" spans="3:6" x14ac:dyDescent="0.2">
      <c r="C159" s="72">
        <v>2</v>
      </c>
      <c r="D159" s="73" t="s">
        <v>646</v>
      </c>
      <c r="E159" s="73">
        <v>2</v>
      </c>
      <c r="F159" s="74" t="s">
        <v>652</v>
      </c>
    </row>
    <row r="160" spans="3:6" ht="17" thickBot="1" x14ac:dyDescent="0.25">
      <c r="C160" s="75">
        <v>2</v>
      </c>
      <c r="D160" s="76" t="s">
        <v>647</v>
      </c>
      <c r="E160" s="76">
        <v>2</v>
      </c>
      <c r="F160" s="77" t="s">
        <v>652</v>
      </c>
    </row>
    <row r="161" spans="3:8" x14ac:dyDescent="0.2">
      <c r="C161" s="72">
        <v>2</v>
      </c>
      <c r="D161" s="73" t="s">
        <v>646</v>
      </c>
      <c r="E161" s="73">
        <v>2</v>
      </c>
      <c r="F161" s="74" t="s">
        <v>653</v>
      </c>
    </row>
    <row r="162" spans="3:8" ht="17" thickBot="1" x14ac:dyDescent="0.25">
      <c r="C162" s="75">
        <v>2</v>
      </c>
      <c r="D162" s="76" t="s">
        <v>647</v>
      </c>
      <c r="E162" s="76">
        <v>2</v>
      </c>
      <c r="F162" s="77" t="s">
        <v>653</v>
      </c>
    </row>
    <row r="163" spans="3:8" x14ac:dyDescent="0.2">
      <c r="C163" s="72">
        <v>2</v>
      </c>
      <c r="D163" s="73" t="s">
        <v>646</v>
      </c>
      <c r="E163" s="73">
        <v>2</v>
      </c>
      <c r="F163" s="74" t="s">
        <v>654</v>
      </c>
      <c r="H163" t="s">
        <v>665</v>
      </c>
    </row>
    <row r="164" spans="3:8" ht="17" thickBot="1" x14ac:dyDescent="0.25">
      <c r="C164" s="75">
        <v>2</v>
      </c>
      <c r="D164" s="76" t="s">
        <v>647</v>
      </c>
      <c r="E164" s="76">
        <v>2</v>
      </c>
      <c r="F164" s="77" t="s">
        <v>654</v>
      </c>
      <c r="H164" t="s">
        <v>666</v>
      </c>
    </row>
    <row r="165" spans="3:8" x14ac:dyDescent="0.2">
      <c r="C165" s="72">
        <v>3</v>
      </c>
      <c r="D165" s="73" t="s">
        <v>648</v>
      </c>
      <c r="E165" s="73">
        <v>3</v>
      </c>
      <c r="F165" s="74" t="s">
        <v>510</v>
      </c>
      <c r="H165" t="s">
        <v>667</v>
      </c>
    </row>
    <row r="166" spans="3:8" x14ac:dyDescent="0.2">
      <c r="C166" s="78">
        <v>3</v>
      </c>
      <c r="D166" s="79" t="s">
        <v>649</v>
      </c>
      <c r="E166" s="79">
        <v>3</v>
      </c>
      <c r="F166" s="80" t="s">
        <v>510</v>
      </c>
      <c r="H166" t="s">
        <v>664</v>
      </c>
    </row>
    <row r="167" spans="3:8" ht="17" thickBot="1" x14ac:dyDescent="0.25">
      <c r="C167" s="75">
        <v>3</v>
      </c>
      <c r="D167" s="76" t="s">
        <v>650</v>
      </c>
      <c r="E167" s="76">
        <v>3</v>
      </c>
      <c r="F167" s="77" t="s">
        <v>510</v>
      </c>
    </row>
    <row r="168" spans="3:8" x14ac:dyDescent="0.2">
      <c r="C168" s="72">
        <v>3</v>
      </c>
      <c r="D168" s="73" t="s">
        <v>648</v>
      </c>
      <c r="E168" s="73">
        <v>3</v>
      </c>
      <c r="F168" s="74" t="s">
        <v>655</v>
      </c>
    </row>
    <row r="169" spans="3:8" x14ac:dyDescent="0.2">
      <c r="C169" s="78">
        <v>3</v>
      </c>
      <c r="D169" s="79" t="s">
        <v>649</v>
      </c>
      <c r="E169" s="79">
        <v>3</v>
      </c>
      <c r="F169" s="80" t="s">
        <v>655</v>
      </c>
    </row>
    <row r="170" spans="3:8" ht="17" thickBot="1" x14ac:dyDescent="0.25">
      <c r="C170" s="75">
        <v>3</v>
      </c>
      <c r="D170" s="76" t="s">
        <v>650</v>
      </c>
      <c r="E170" s="76">
        <v>3</v>
      </c>
      <c r="F170" s="77" t="s">
        <v>655</v>
      </c>
    </row>
    <row r="171" spans="3:8" x14ac:dyDescent="0.2">
      <c r="C171" s="63" t="s">
        <v>157</v>
      </c>
      <c r="D171" s="64" t="s">
        <v>157</v>
      </c>
      <c r="E171" s="64">
        <v>5</v>
      </c>
      <c r="F171" s="65" t="s">
        <v>656</v>
      </c>
    </row>
    <row r="172" spans="3:8" x14ac:dyDescent="0.2">
      <c r="C172" s="66" t="s">
        <v>157</v>
      </c>
      <c r="D172" s="67" t="s">
        <v>157</v>
      </c>
      <c r="E172" s="67">
        <v>5</v>
      </c>
      <c r="F172" s="68" t="s">
        <v>657</v>
      </c>
    </row>
    <row r="173" spans="3:8" ht="17" thickBot="1" x14ac:dyDescent="0.25">
      <c r="C173" s="69" t="s">
        <v>157</v>
      </c>
      <c r="D173" s="70" t="s">
        <v>157</v>
      </c>
      <c r="E173" s="70">
        <v>6</v>
      </c>
      <c r="F173" s="71" t="s">
        <v>658</v>
      </c>
    </row>
    <row r="176" spans="3:8" ht="17" thickBot="1" x14ac:dyDescent="0.25">
      <c r="C176" t="s">
        <v>642</v>
      </c>
      <c r="E176" t="s">
        <v>643</v>
      </c>
    </row>
    <row r="177" spans="3:8" ht="17" thickBot="1" x14ac:dyDescent="0.25">
      <c r="C177" s="14" t="s">
        <v>277</v>
      </c>
      <c r="D177" s="15" t="s">
        <v>80</v>
      </c>
      <c r="E177" s="15" t="s">
        <v>277</v>
      </c>
      <c r="F177" s="16" t="s">
        <v>80</v>
      </c>
    </row>
    <row r="178" spans="3:8" x14ac:dyDescent="0.2">
      <c r="C178" s="72">
        <v>2</v>
      </c>
      <c r="D178" s="73" t="s">
        <v>646</v>
      </c>
      <c r="E178" s="73">
        <v>2</v>
      </c>
      <c r="F178" s="74" t="s">
        <v>652</v>
      </c>
    </row>
    <row r="179" spans="3:8" x14ac:dyDescent="0.2">
      <c r="C179" s="78">
        <v>2</v>
      </c>
      <c r="D179" s="79" t="s">
        <v>646</v>
      </c>
      <c r="E179" s="79">
        <v>2</v>
      </c>
      <c r="F179" s="80" t="s">
        <v>653</v>
      </c>
    </row>
    <row r="180" spans="3:8" ht="17" thickBot="1" x14ac:dyDescent="0.25">
      <c r="C180" s="75">
        <v>2</v>
      </c>
      <c r="D180" s="76" t="s">
        <v>646</v>
      </c>
      <c r="E180" s="76">
        <v>2</v>
      </c>
      <c r="F180" s="77" t="s">
        <v>654</v>
      </c>
    </row>
    <row r="181" spans="3:8" x14ac:dyDescent="0.2">
      <c r="C181" s="72">
        <v>2</v>
      </c>
      <c r="D181" s="73" t="s">
        <v>647</v>
      </c>
      <c r="E181" s="73">
        <v>2</v>
      </c>
      <c r="F181" s="74" t="s">
        <v>652</v>
      </c>
    </row>
    <row r="182" spans="3:8" x14ac:dyDescent="0.2">
      <c r="C182" s="78">
        <v>2</v>
      </c>
      <c r="D182" s="79" t="s">
        <v>647</v>
      </c>
      <c r="E182" s="79">
        <v>2</v>
      </c>
      <c r="F182" s="80" t="s">
        <v>653</v>
      </c>
    </row>
    <row r="183" spans="3:8" ht="17" thickBot="1" x14ac:dyDescent="0.25">
      <c r="C183" s="75">
        <v>2</v>
      </c>
      <c r="D183" s="76" t="s">
        <v>647</v>
      </c>
      <c r="E183" s="76">
        <v>2</v>
      </c>
      <c r="F183" s="77" t="s">
        <v>654</v>
      </c>
    </row>
    <row r="184" spans="3:8" x14ac:dyDescent="0.2">
      <c r="C184" s="72">
        <v>3</v>
      </c>
      <c r="D184" s="73" t="s">
        <v>648</v>
      </c>
      <c r="E184" s="73">
        <v>3</v>
      </c>
      <c r="F184" s="74" t="s">
        <v>510</v>
      </c>
      <c r="H184" t="s">
        <v>668</v>
      </c>
    </row>
    <row r="185" spans="3:8" ht="17" thickBot="1" x14ac:dyDescent="0.25">
      <c r="C185" s="75">
        <v>3</v>
      </c>
      <c r="D185" s="76" t="s">
        <v>648</v>
      </c>
      <c r="E185" s="76">
        <v>3</v>
      </c>
      <c r="F185" s="77" t="s">
        <v>655</v>
      </c>
    </row>
    <row r="186" spans="3:8" x14ac:dyDescent="0.2">
      <c r="C186" s="72">
        <v>3</v>
      </c>
      <c r="D186" s="73" t="s">
        <v>649</v>
      </c>
      <c r="E186" s="73">
        <v>3</v>
      </c>
      <c r="F186" s="74" t="s">
        <v>510</v>
      </c>
    </row>
    <row r="187" spans="3:8" ht="17" thickBot="1" x14ac:dyDescent="0.25">
      <c r="C187" s="75">
        <v>3</v>
      </c>
      <c r="D187" s="76" t="s">
        <v>649</v>
      </c>
      <c r="E187" s="76">
        <v>3</v>
      </c>
      <c r="F187" s="77" t="s">
        <v>655</v>
      </c>
    </row>
    <row r="188" spans="3:8" x14ac:dyDescent="0.2">
      <c r="C188" s="78">
        <v>3</v>
      </c>
      <c r="D188" s="79" t="s">
        <v>650</v>
      </c>
      <c r="E188" s="79">
        <v>3</v>
      </c>
      <c r="F188" s="80" t="s">
        <v>510</v>
      </c>
    </row>
    <row r="189" spans="3:8" ht="17" thickBot="1" x14ac:dyDescent="0.25">
      <c r="C189" s="75">
        <v>3</v>
      </c>
      <c r="D189" s="76" t="s">
        <v>650</v>
      </c>
      <c r="E189" s="76">
        <v>3</v>
      </c>
      <c r="F189" s="77" t="s">
        <v>655</v>
      </c>
    </row>
    <row r="190" spans="3:8" x14ac:dyDescent="0.2">
      <c r="C190" s="81">
        <v>1</v>
      </c>
      <c r="D190" s="82" t="s">
        <v>611</v>
      </c>
      <c r="E190" s="82" t="s">
        <v>157</v>
      </c>
      <c r="F190" s="83" t="s">
        <v>157</v>
      </c>
    </row>
    <row r="191" spans="3:8" x14ac:dyDescent="0.2">
      <c r="C191" s="84">
        <v>1</v>
      </c>
      <c r="D191" s="85" t="s">
        <v>645</v>
      </c>
      <c r="E191" s="85" t="s">
        <v>157</v>
      </c>
      <c r="F191" s="86" t="s">
        <v>157</v>
      </c>
    </row>
    <row r="192" spans="3:8" ht="17" thickBot="1" x14ac:dyDescent="0.25">
      <c r="C192" s="90">
        <v>4</v>
      </c>
      <c r="D192" s="91" t="s">
        <v>651</v>
      </c>
      <c r="E192" s="91" t="s">
        <v>157</v>
      </c>
      <c r="F192" s="92" t="s">
        <v>157</v>
      </c>
    </row>
    <row r="193" spans="3:9" x14ac:dyDescent="0.2">
      <c r="C193" s="63" t="s">
        <v>157</v>
      </c>
      <c r="D193" s="64" t="s">
        <v>157</v>
      </c>
      <c r="E193" s="64">
        <v>5</v>
      </c>
      <c r="F193" s="65" t="s">
        <v>656</v>
      </c>
    </row>
    <row r="194" spans="3:9" x14ac:dyDescent="0.2">
      <c r="C194" s="66" t="s">
        <v>157</v>
      </c>
      <c r="D194" s="67" t="s">
        <v>157</v>
      </c>
      <c r="E194" s="67">
        <v>5</v>
      </c>
      <c r="F194" s="68" t="s">
        <v>657</v>
      </c>
    </row>
    <row r="195" spans="3:9" ht="17" thickBot="1" x14ac:dyDescent="0.25">
      <c r="C195" s="69" t="s">
        <v>157</v>
      </c>
      <c r="D195" s="70" t="s">
        <v>157</v>
      </c>
      <c r="E195" s="70">
        <v>6</v>
      </c>
      <c r="F195" s="71" t="s">
        <v>658</v>
      </c>
    </row>
    <row r="200" spans="3:9" x14ac:dyDescent="0.2">
      <c r="E200" t="s">
        <v>659</v>
      </c>
      <c r="F200" t="s">
        <v>669</v>
      </c>
    </row>
    <row r="201" spans="3:9" x14ac:dyDescent="0.2">
      <c r="E201" t="s">
        <v>661</v>
      </c>
      <c r="F201" t="s">
        <v>670</v>
      </c>
    </row>
    <row r="202" spans="3:9" x14ac:dyDescent="0.2">
      <c r="E202" t="s">
        <v>665</v>
      </c>
      <c r="F202" t="s">
        <v>671</v>
      </c>
    </row>
    <row r="203" spans="3:9" x14ac:dyDescent="0.2">
      <c r="E203" t="s">
        <v>668</v>
      </c>
      <c r="F203" t="s">
        <v>672</v>
      </c>
    </row>
    <row r="206" spans="3:9" ht="17" thickBot="1" x14ac:dyDescent="0.25">
      <c r="C206" t="s">
        <v>673</v>
      </c>
      <c r="G206" t="s">
        <v>674</v>
      </c>
    </row>
    <row r="207" spans="3:9" x14ac:dyDescent="0.2">
      <c r="C207" s="2"/>
      <c r="D207" s="3"/>
      <c r="E207" s="4"/>
      <c r="G207" s="2"/>
      <c r="H207" s="3"/>
      <c r="I207" s="4"/>
    </row>
    <row r="208" spans="3:9" x14ac:dyDescent="0.2">
      <c r="C208" s="5"/>
      <c r="E208" s="6"/>
      <c r="G208" s="5"/>
      <c r="I208" s="6"/>
    </row>
    <row r="209" spans="3:9" ht="17" thickBot="1" x14ac:dyDescent="0.25">
      <c r="C209" s="5"/>
      <c r="E209" s="6"/>
      <c r="G209" s="7"/>
      <c r="H209" s="8"/>
      <c r="I209" s="9"/>
    </row>
    <row r="210" spans="3:9" ht="17" thickBot="1" x14ac:dyDescent="0.25">
      <c r="C210" s="5"/>
      <c r="E210" s="6"/>
    </row>
    <row r="211" spans="3:9" x14ac:dyDescent="0.2">
      <c r="C211" s="5"/>
      <c r="E211" s="6"/>
      <c r="G211" s="2"/>
      <c r="H211" s="3"/>
      <c r="I211" s="4"/>
    </row>
    <row r="212" spans="3:9" x14ac:dyDescent="0.2">
      <c r="C212" s="5"/>
      <c r="E212" s="6"/>
      <c r="G212" s="5"/>
      <c r="I212" s="6"/>
    </row>
    <row r="213" spans="3:9" ht="17" thickBot="1" x14ac:dyDescent="0.25">
      <c r="C213" s="5"/>
      <c r="E213" s="6"/>
      <c r="G213" s="7"/>
      <c r="H213" s="8"/>
      <c r="I213" s="9"/>
    </row>
    <row r="214" spans="3:9" ht="17" thickBot="1" x14ac:dyDescent="0.25">
      <c r="C214" s="5"/>
      <c r="E214" s="6"/>
    </row>
    <row r="215" spans="3:9" ht="17" thickBot="1" x14ac:dyDescent="0.25">
      <c r="C215" s="7"/>
      <c r="D215" s="8"/>
      <c r="E215" s="9"/>
      <c r="G215" s="2"/>
      <c r="H215" s="3"/>
      <c r="I215" s="4"/>
    </row>
    <row r="216" spans="3:9" x14ac:dyDescent="0.2">
      <c r="G216" s="5"/>
      <c r="I216" s="6"/>
    </row>
    <row r="217" spans="3:9" ht="17" thickBot="1" x14ac:dyDescent="0.25">
      <c r="G217" s="7"/>
      <c r="H217" s="8"/>
      <c r="I217" s="9"/>
    </row>
    <row r="221" spans="3:9" x14ac:dyDescent="0.2">
      <c r="C221" t="s">
        <v>16</v>
      </c>
      <c r="G221" t="s">
        <v>16</v>
      </c>
    </row>
    <row r="222" spans="3:9" x14ac:dyDescent="0.2">
      <c r="C222" t="s">
        <v>17</v>
      </c>
      <c r="G222" t="s">
        <v>17</v>
      </c>
    </row>
    <row r="223" spans="3:9" x14ac:dyDescent="0.2">
      <c r="C223" t="s">
        <v>675</v>
      </c>
      <c r="G223" t="s">
        <v>675</v>
      </c>
    </row>
    <row r="224" spans="3:9" x14ac:dyDescent="0.2">
      <c r="C224" t="s">
        <v>24</v>
      </c>
      <c r="G224" t="s">
        <v>24</v>
      </c>
    </row>
    <row r="225" spans="3:10" x14ac:dyDescent="0.2">
      <c r="C225" t="s">
        <v>22</v>
      </c>
      <c r="G225" t="s">
        <v>22</v>
      </c>
    </row>
    <row r="226" spans="3:10" x14ac:dyDescent="0.2">
      <c r="C226" t="s">
        <v>324</v>
      </c>
      <c r="G226" t="s">
        <v>324</v>
      </c>
    </row>
    <row r="231" spans="3:10" x14ac:dyDescent="0.2">
      <c r="C231" t="s">
        <v>18</v>
      </c>
      <c r="G231" t="s">
        <v>19</v>
      </c>
    </row>
    <row r="232" spans="3:10" x14ac:dyDescent="0.2">
      <c r="C232" t="s">
        <v>277</v>
      </c>
      <c r="D232" t="s">
        <v>80</v>
      </c>
      <c r="G232" t="s">
        <v>277</v>
      </c>
      <c r="H232" t="s">
        <v>80</v>
      </c>
    </row>
    <row r="235" spans="3:10" x14ac:dyDescent="0.2">
      <c r="E235" t="s">
        <v>676</v>
      </c>
    </row>
    <row r="238" spans="3:10" x14ac:dyDescent="0.2">
      <c r="C238" t="s">
        <v>274</v>
      </c>
      <c r="G238" t="s">
        <v>274</v>
      </c>
    </row>
    <row r="239" spans="3:10" x14ac:dyDescent="0.2">
      <c r="D239" t="s">
        <v>682</v>
      </c>
      <c r="H239" t="s">
        <v>683</v>
      </c>
      <c r="J239" t="s">
        <v>684</v>
      </c>
    </row>
    <row r="240" spans="3:10" x14ac:dyDescent="0.2">
      <c r="J240" t="s">
        <v>685</v>
      </c>
    </row>
    <row r="241" spans="3:11" x14ac:dyDescent="0.2">
      <c r="C241" t="s">
        <v>677</v>
      </c>
      <c r="G241" t="s">
        <v>677</v>
      </c>
    </row>
    <row r="242" spans="3:11" x14ac:dyDescent="0.2">
      <c r="D242" t="s">
        <v>18</v>
      </c>
      <c r="E242" t="s">
        <v>680</v>
      </c>
      <c r="H242" t="s">
        <v>18</v>
      </c>
      <c r="J242" t="s">
        <v>686</v>
      </c>
    </row>
    <row r="243" spans="3:11" x14ac:dyDescent="0.2">
      <c r="J243" t="s">
        <v>687</v>
      </c>
    </row>
    <row r="244" spans="3:11" x14ac:dyDescent="0.2">
      <c r="C244" t="s">
        <v>678</v>
      </c>
      <c r="G244" t="s">
        <v>678</v>
      </c>
    </row>
    <row r="245" spans="3:11" x14ac:dyDescent="0.2">
      <c r="D245" t="s">
        <v>19</v>
      </c>
      <c r="E245" t="s">
        <v>681</v>
      </c>
      <c r="H245" t="s">
        <v>19</v>
      </c>
    </row>
    <row r="246" spans="3:11" x14ac:dyDescent="0.2">
      <c r="C246" t="s">
        <v>679</v>
      </c>
      <c r="G246" t="s">
        <v>679</v>
      </c>
    </row>
    <row r="247" spans="3:11" x14ac:dyDescent="0.2">
      <c r="D247" s="93" t="s">
        <v>676</v>
      </c>
      <c r="H247" s="93" t="s">
        <v>676</v>
      </c>
    </row>
    <row r="249" spans="3:11" ht="17" thickBot="1" x14ac:dyDescent="0.25"/>
    <row r="250" spans="3:11" x14ac:dyDescent="0.2">
      <c r="E250" s="2" t="s">
        <v>688</v>
      </c>
      <c r="F250" s="3"/>
      <c r="G250" s="3" t="s">
        <v>692</v>
      </c>
      <c r="H250" s="3"/>
      <c r="I250" s="4" t="s">
        <v>695</v>
      </c>
      <c r="K250" t="s">
        <v>700</v>
      </c>
    </row>
    <row r="251" spans="3:11" x14ac:dyDescent="0.2">
      <c r="E251" s="5" t="s">
        <v>689</v>
      </c>
      <c r="G251" t="s">
        <v>693</v>
      </c>
      <c r="I251" s="6" t="s">
        <v>696</v>
      </c>
    </row>
    <row r="252" spans="3:11" x14ac:dyDescent="0.2">
      <c r="E252" s="5" t="s">
        <v>690</v>
      </c>
      <c r="G252" t="s">
        <v>694</v>
      </c>
      <c r="I252" s="6" t="s">
        <v>697</v>
      </c>
      <c r="K252" t="s">
        <v>701</v>
      </c>
    </row>
    <row r="253" spans="3:11" x14ac:dyDescent="0.2">
      <c r="E253" s="5" t="s">
        <v>691</v>
      </c>
      <c r="I253" s="6" t="s">
        <v>698</v>
      </c>
    </row>
    <row r="254" spans="3:11" ht="17" thickBot="1" x14ac:dyDescent="0.25">
      <c r="E254" s="7" t="s">
        <v>699</v>
      </c>
      <c r="F254" s="8"/>
      <c r="G254" s="8"/>
      <c r="H254" s="8"/>
      <c r="I254" s="9"/>
    </row>
    <row r="257" spans="3:9" x14ac:dyDescent="0.2">
      <c r="C257" t="s">
        <v>702</v>
      </c>
    </row>
    <row r="258" spans="3:9" x14ac:dyDescent="0.2">
      <c r="C258" t="s">
        <v>703</v>
      </c>
    </row>
    <row r="262" spans="3:9" x14ac:dyDescent="0.2">
      <c r="C262" t="s">
        <v>22</v>
      </c>
      <c r="G262" t="s">
        <v>704</v>
      </c>
      <c r="I262" t="s">
        <v>705</v>
      </c>
    </row>
    <row r="264" spans="3:9" x14ac:dyDescent="0.2">
      <c r="C264">
        <v>1</v>
      </c>
      <c r="D264">
        <v>1</v>
      </c>
      <c r="E264">
        <v>1</v>
      </c>
      <c r="G264">
        <v>1</v>
      </c>
      <c r="I264">
        <v>1</v>
      </c>
    </row>
    <row r="265" spans="3:9" x14ac:dyDescent="0.2">
      <c r="C265">
        <v>2</v>
      </c>
      <c r="D265">
        <v>1</v>
      </c>
      <c r="E265">
        <v>1</v>
      </c>
      <c r="G265">
        <v>2</v>
      </c>
      <c r="I265">
        <v>2</v>
      </c>
    </row>
    <row r="266" spans="3:9" x14ac:dyDescent="0.2">
      <c r="C266">
        <v>3</v>
      </c>
      <c r="E266">
        <v>1</v>
      </c>
      <c r="G266">
        <v>3</v>
      </c>
      <c r="I266">
        <v>3</v>
      </c>
    </row>
    <row r="267" spans="3:9" x14ac:dyDescent="0.2">
      <c r="C267">
        <v>4</v>
      </c>
      <c r="D267">
        <v>2</v>
      </c>
      <c r="G267">
        <v>4</v>
      </c>
      <c r="I267">
        <v>4</v>
      </c>
    </row>
    <row r="268" spans="3:9" x14ac:dyDescent="0.2">
      <c r="C268">
        <v>5</v>
      </c>
      <c r="D268">
        <v>2</v>
      </c>
      <c r="E268">
        <v>3</v>
      </c>
      <c r="G268">
        <v>5</v>
      </c>
      <c r="I268">
        <v>5</v>
      </c>
    </row>
    <row r="272" spans="3:9" x14ac:dyDescent="0.2">
      <c r="E272" t="s">
        <v>707</v>
      </c>
    </row>
    <row r="273" spans="3:11" x14ac:dyDescent="0.2">
      <c r="C273" t="s">
        <v>17</v>
      </c>
      <c r="D273">
        <v>150000</v>
      </c>
    </row>
    <row r="274" spans="3:11" x14ac:dyDescent="0.2">
      <c r="C274" t="s">
        <v>706</v>
      </c>
      <c r="D274">
        <v>50000</v>
      </c>
      <c r="E274">
        <v>47521</v>
      </c>
      <c r="F274">
        <f>D274-E274</f>
        <v>2479</v>
      </c>
    </row>
    <row r="277" spans="3:11" x14ac:dyDescent="0.2">
      <c r="D277">
        <v>152479</v>
      </c>
    </row>
    <row r="280" spans="3:11" x14ac:dyDescent="0.2">
      <c r="D280" t="s">
        <v>708</v>
      </c>
      <c r="E280">
        <f>D273</f>
        <v>150000</v>
      </c>
    </row>
    <row r="281" spans="3:11" x14ac:dyDescent="0.2">
      <c r="D281" t="s">
        <v>709</v>
      </c>
      <c r="E281">
        <f>F274</f>
        <v>2479</v>
      </c>
    </row>
    <row r="282" spans="3:11" x14ac:dyDescent="0.2">
      <c r="E282">
        <f>SUM(E280:E281)</f>
        <v>152479</v>
      </c>
    </row>
    <row r="287" spans="3:11" x14ac:dyDescent="0.2">
      <c r="D287" t="s">
        <v>188</v>
      </c>
      <c r="E287" t="s">
        <v>719</v>
      </c>
      <c r="G287" t="s">
        <v>188</v>
      </c>
      <c r="H287" t="s">
        <v>311</v>
      </c>
      <c r="I287" t="s">
        <v>710</v>
      </c>
      <c r="J287">
        <v>150000</v>
      </c>
      <c r="K287">
        <v>50000</v>
      </c>
    </row>
    <row r="288" spans="3:11" x14ac:dyDescent="0.2">
      <c r="D288" t="s">
        <v>710</v>
      </c>
      <c r="E288" t="s">
        <v>720</v>
      </c>
      <c r="G288" t="s">
        <v>711</v>
      </c>
      <c r="H288" t="s">
        <v>311</v>
      </c>
      <c r="I288" t="s">
        <v>719</v>
      </c>
      <c r="J288">
        <v>200000</v>
      </c>
      <c r="K288">
        <v>50000</v>
      </c>
    </row>
    <row r="289" spans="4:10" x14ac:dyDescent="0.2">
      <c r="D289" t="s">
        <v>711</v>
      </c>
      <c r="J289">
        <f>J288*K288</f>
        <v>10000000000</v>
      </c>
    </row>
    <row r="290" spans="4:10" x14ac:dyDescent="0.2">
      <c r="D290" t="s">
        <v>712</v>
      </c>
    </row>
    <row r="291" spans="4:10" x14ac:dyDescent="0.2">
      <c r="D291" t="s">
        <v>713</v>
      </c>
    </row>
    <row r="292" spans="4:10" x14ac:dyDescent="0.2">
      <c r="D292" t="s">
        <v>714</v>
      </c>
    </row>
    <row r="293" spans="4:10" x14ac:dyDescent="0.2">
      <c r="D293" t="s">
        <v>715</v>
      </c>
    </row>
    <row r="294" spans="4:10" x14ac:dyDescent="0.2">
      <c r="D294" t="s">
        <v>716</v>
      </c>
    </row>
    <row r="295" spans="4:10" x14ac:dyDescent="0.2">
      <c r="D295" t="s">
        <v>717</v>
      </c>
    </row>
    <row r="296" spans="4:10" x14ac:dyDescent="0.2">
      <c r="D296" t="s">
        <v>718</v>
      </c>
    </row>
    <row r="298" spans="4:10" x14ac:dyDescent="0.2">
      <c r="D298" t="s">
        <v>721</v>
      </c>
    </row>
    <row r="299" spans="4:10" x14ac:dyDescent="0.2">
      <c r="D299" t="s">
        <v>722</v>
      </c>
    </row>
  </sheetData>
  <mergeCells count="8">
    <mergeCell ref="J43:M46"/>
    <mergeCell ref="E59:H60"/>
    <mergeCell ref="B2:E2"/>
    <mergeCell ref="G2:I2"/>
    <mergeCell ref="J20:M23"/>
    <mergeCell ref="J35:M38"/>
    <mergeCell ref="J24:M27"/>
    <mergeCell ref="J39:M42"/>
  </mergeCells>
  <phoneticPr fontId="4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11AF-5510-824C-BC72-0F4577571645}">
  <dimension ref="B2:K182"/>
  <sheetViews>
    <sheetView tabSelected="1" topLeftCell="A171" zoomScale="200" zoomScaleNormal="200" workbookViewId="0">
      <selection activeCell="J180" sqref="J180"/>
    </sheetView>
  </sheetViews>
  <sheetFormatPr baseColWidth="10" defaultRowHeight="16" x14ac:dyDescent="0.2"/>
  <cols>
    <col min="1" max="1" width="5.83203125" customWidth="1"/>
    <col min="2" max="2" width="9.33203125" bestFit="1" customWidth="1"/>
    <col min="3" max="3" width="9.83203125" bestFit="1" customWidth="1"/>
    <col min="4" max="4" width="12.83203125" bestFit="1" customWidth="1"/>
    <col min="5" max="5" width="8.1640625" bestFit="1" customWidth="1"/>
    <col min="7" max="7" width="12.1640625" bestFit="1" customWidth="1"/>
    <col min="8" max="8" width="12.83203125" bestFit="1" customWidth="1"/>
    <col min="9" max="9" width="10.5" bestFit="1" customWidth="1"/>
  </cols>
  <sheetData>
    <row r="2" spans="2:8" x14ac:dyDescent="0.2">
      <c r="B2" t="s">
        <v>723</v>
      </c>
    </row>
    <row r="4" spans="2:8" x14ac:dyDescent="0.2">
      <c r="B4" t="s">
        <v>724</v>
      </c>
    </row>
    <row r="6" spans="2:8" x14ac:dyDescent="0.2">
      <c r="B6" t="s">
        <v>725</v>
      </c>
      <c r="C6" t="s">
        <v>726</v>
      </c>
    </row>
    <row r="9" spans="2:8" x14ac:dyDescent="0.2">
      <c r="B9" t="s">
        <v>727</v>
      </c>
      <c r="E9" t="s">
        <v>728</v>
      </c>
    </row>
    <row r="10" spans="2:8" x14ac:dyDescent="0.2">
      <c r="B10">
        <v>1</v>
      </c>
      <c r="E10" t="s">
        <v>729</v>
      </c>
      <c r="G10" t="s">
        <v>585</v>
      </c>
      <c r="H10" t="s">
        <v>586</v>
      </c>
    </row>
    <row r="11" spans="2:8" x14ac:dyDescent="0.2">
      <c r="B11">
        <v>2</v>
      </c>
      <c r="E11" t="s">
        <v>730</v>
      </c>
      <c r="G11" t="s">
        <v>734</v>
      </c>
      <c r="H11" t="s">
        <v>560</v>
      </c>
    </row>
    <row r="12" spans="2:8" x14ac:dyDescent="0.2">
      <c r="B12">
        <v>3</v>
      </c>
      <c r="E12" t="s">
        <v>731</v>
      </c>
    </row>
    <row r="13" spans="2:8" x14ac:dyDescent="0.2">
      <c r="B13">
        <v>4</v>
      </c>
      <c r="E13" t="s">
        <v>732</v>
      </c>
      <c r="G13" t="s">
        <v>723</v>
      </c>
      <c r="H13" t="s">
        <v>735</v>
      </c>
    </row>
    <row r="14" spans="2:8" x14ac:dyDescent="0.2">
      <c r="B14">
        <v>5</v>
      </c>
      <c r="E14" t="s">
        <v>733</v>
      </c>
    </row>
    <row r="15" spans="2:8" x14ac:dyDescent="0.2">
      <c r="B15">
        <v>6</v>
      </c>
      <c r="G15">
        <v>150000</v>
      </c>
      <c r="H15">
        <v>375202</v>
      </c>
    </row>
    <row r="16" spans="2:8" x14ac:dyDescent="0.2">
      <c r="B16">
        <v>7</v>
      </c>
      <c r="G16">
        <f>G15*H15</f>
        <v>56280300000</v>
      </c>
    </row>
    <row r="17" spans="2:8" x14ac:dyDescent="0.2">
      <c r="B17">
        <v>8</v>
      </c>
      <c r="G17">
        <v>200</v>
      </c>
      <c r="H17">
        <v>3000</v>
      </c>
    </row>
    <row r="18" spans="2:8" x14ac:dyDescent="0.2">
      <c r="B18">
        <v>9</v>
      </c>
      <c r="G18">
        <f>G17*H17</f>
        <v>600000</v>
      </c>
    </row>
    <row r="19" spans="2:8" x14ac:dyDescent="0.2">
      <c r="B19">
        <v>10</v>
      </c>
    </row>
    <row r="22" spans="2:8" x14ac:dyDescent="0.2">
      <c r="D22">
        <v>1</v>
      </c>
      <c r="E22" t="s">
        <v>729</v>
      </c>
    </row>
    <row r="23" spans="2:8" x14ac:dyDescent="0.2">
      <c r="D23">
        <v>1</v>
      </c>
      <c r="E23" t="s">
        <v>730</v>
      </c>
    </row>
    <row r="24" spans="2:8" x14ac:dyDescent="0.2">
      <c r="D24">
        <v>1</v>
      </c>
      <c r="E24" t="s">
        <v>731</v>
      </c>
    </row>
    <row r="25" spans="2:8" x14ac:dyDescent="0.2">
      <c r="D25">
        <v>1</v>
      </c>
      <c r="E25" t="s">
        <v>732</v>
      </c>
    </row>
    <row r="26" spans="2:8" x14ac:dyDescent="0.2">
      <c r="D26">
        <v>1</v>
      </c>
      <c r="E26" t="s">
        <v>733</v>
      </c>
    </row>
    <row r="27" spans="2:8" x14ac:dyDescent="0.2">
      <c r="D27">
        <v>2</v>
      </c>
      <c r="E27" t="s">
        <v>729</v>
      </c>
    </row>
    <row r="28" spans="2:8" x14ac:dyDescent="0.2">
      <c r="D28">
        <v>2</v>
      </c>
      <c r="E28" t="s">
        <v>730</v>
      </c>
    </row>
    <row r="29" spans="2:8" x14ac:dyDescent="0.2">
      <c r="D29">
        <v>2</v>
      </c>
      <c r="E29" t="s">
        <v>731</v>
      </c>
    </row>
    <row r="30" spans="2:8" x14ac:dyDescent="0.2">
      <c r="D30">
        <v>2</v>
      </c>
      <c r="E30" t="s">
        <v>732</v>
      </c>
    </row>
    <row r="31" spans="2:8" x14ac:dyDescent="0.2">
      <c r="D31">
        <v>2</v>
      </c>
      <c r="E31" t="s">
        <v>733</v>
      </c>
    </row>
    <row r="32" spans="2:8" x14ac:dyDescent="0.2">
      <c r="D32">
        <v>3</v>
      </c>
      <c r="E32" t="s">
        <v>729</v>
      </c>
    </row>
    <row r="33" spans="4:6" x14ac:dyDescent="0.2">
      <c r="D33">
        <v>3</v>
      </c>
      <c r="E33" t="s">
        <v>730</v>
      </c>
    </row>
    <row r="34" spans="4:6" x14ac:dyDescent="0.2">
      <c r="D34">
        <v>3</v>
      </c>
      <c r="E34" t="s">
        <v>731</v>
      </c>
    </row>
    <row r="35" spans="4:6" x14ac:dyDescent="0.2">
      <c r="D35">
        <v>3</v>
      </c>
      <c r="E35" t="s">
        <v>732</v>
      </c>
    </row>
    <row r="36" spans="4:6" x14ac:dyDescent="0.2">
      <c r="D36">
        <v>3</v>
      </c>
      <c r="E36" t="s">
        <v>733</v>
      </c>
    </row>
    <row r="37" spans="4:6" x14ac:dyDescent="0.2">
      <c r="D37">
        <v>3</v>
      </c>
      <c r="E37" t="s">
        <v>729</v>
      </c>
    </row>
    <row r="38" spans="4:6" x14ac:dyDescent="0.2">
      <c r="D38">
        <v>3</v>
      </c>
      <c r="E38" t="s">
        <v>730</v>
      </c>
    </row>
    <row r="39" spans="4:6" x14ac:dyDescent="0.2">
      <c r="D39">
        <v>3</v>
      </c>
      <c r="E39" t="s">
        <v>731</v>
      </c>
    </row>
    <row r="40" spans="4:6" x14ac:dyDescent="0.2">
      <c r="D40">
        <v>3</v>
      </c>
      <c r="E40" t="s">
        <v>732</v>
      </c>
    </row>
    <row r="41" spans="4:6" x14ac:dyDescent="0.2">
      <c r="E41" t="s">
        <v>733</v>
      </c>
    </row>
    <row r="45" spans="4:6" x14ac:dyDescent="0.2">
      <c r="D45" t="s">
        <v>188</v>
      </c>
      <c r="F45" t="s">
        <v>586</v>
      </c>
    </row>
    <row r="48" spans="4:6" x14ac:dyDescent="0.2">
      <c r="D48" t="s">
        <v>188</v>
      </c>
      <c r="F48" t="s">
        <v>188</v>
      </c>
    </row>
    <row r="50" spans="3:9" x14ac:dyDescent="0.2">
      <c r="D50" t="s">
        <v>641</v>
      </c>
      <c r="E50" s="119" t="s">
        <v>739</v>
      </c>
    </row>
    <row r="51" spans="3:9" x14ac:dyDescent="0.2">
      <c r="D51" t="s">
        <v>736</v>
      </c>
      <c r="E51" s="119"/>
    </row>
    <row r="52" spans="3:9" x14ac:dyDescent="0.2">
      <c r="D52" t="s">
        <v>737</v>
      </c>
      <c r="E52" s="119"/>
    </row>
    <row r="53" spans="3:9" x14ac:dyDescent="0.2">
      <c r="D53" t="s">
        <v>738</v>
      </c>
      <c r="E53" s="119"/>
    </row>
    <row r="56" spans="3:9" x14ac:dyDescent="0.2">
      <c r="C56" t="s">
        <v>675</v>
      </c>
      <c r="G56" t="s">
        <v>675</v>
      </c>
    </row>
    <row r="57" spans="3:9" x14ac:dyDescent="0.2">
      <c r="C57" t="s">
        <v>740</v>
      </c>
      <c r="D57" t="s">
        <v>741</v>
      </c>
      <c r="E57" t="s">
        <v>742</v>
      </c>
      <c r="G57" t="s">
        <v>740</v>
      </c>
      <c r="H57" t="s">
        <v>741</v>
      </c>
      <c r="I57" t="s">
        <v>742</v>
      </c>
    </row>
    <row r="58" spans="3:9" x14ac:dyDescent="0.2">
      <c r="C58">
        <v>1</v>
      </c>
      <c r="D58" t="s">
        <v>611</v>
      </c>
      <c r="E58">
        <v>1</v>
      </c>
      <c r="G58">
        <v>1</v>
      </c>
      <c r="H58" t="s">
        <v>611</v>
      </c>
      <c r="I58">
        <v>1</v>
      </c>
    </row>
    <row r="59" spans="3:9" x14ac:dyDescent="0.2">
      <c r="C59">
        <v>2</v>
      </c>
      <c r="D59" t="s">
        <v>645</v>
      </c>
      <c r="E59">
        <v>1</v>
      </c>
      <c r="G59">
        <v>2</v>
      </c>
      <c r="H59" t="s">
        <v>645</v>
      </c>
      <c r="I59">
        <v>1</v>
      </c>
    </row>
    <row r="60" spans="3:9" x14ac:dyDescent="0.2">
      <c r="C60">
        <v>3</v>
      </c>
      <c r="D60" t="s">
        <v>646</v>
      </c>
      <c r="E60">
        <v>1</v>
      </c>
      <c r="G60">
        <v>3</v>
      </c>
      <c r="H60" t="s">
        <v>646</v>
      </c>
      <c r="I60">
        <v>1</v>
      </c>
    </row>
    <row r="61" spans="3:9" x14ac:dyDescent="0.2">
      <c r="C61">
        <v>4</v>
      </c>
      <c r="D61" t="s">
        <v>647</v>
      </c>
      <c r="E61">
        <v>2</v>
      </c>
      <c r="G61">
        <v>4</v>
      </c>
      <c r="H61" t="s">
        <v>647</v>
      </c>
      <c r="I61">
        <v>2</v>
      </c>
    </row>
    <row r="62" spans="3:9" x14ac:dyDescent="0.2">
      <c r="C62">
        <v>5</v>
      </c>
      <c r="D62" t="s">
        <v>648</v>
      </c>
      <c r="E62">
        <v>2</v>
      </c>
      <c r="G62">
        <v>5</v>
      </c>
      <c r="H62" t="s">
        <v>648</v>
      </c>
      <c r="I62">
        <v>2</v>
      </c>
    </row>
    <row r="66" spans="3:11" x14ac:dyDescent="0.2">
      <c r="C66" t="s">
        <v>675</v>
      </c>
      <c r="F66" t="s">
        <v>675</v>
      </c>
    </row>
    <row r="67" spans="3:11" x14ac:dyDescent="0.2">
      <c r="C67" t="s">
        <v>740</v>
      </c>
      <c r="D67" t="s">
        <v>741</v>
      </c>
      <c r="E67" t="s">
        <v>742</v>
      </c>
      <c r="F67" t="s">
        <v>740</v>
      </c>
      <c r="G67" t="s">
        <v>741</v>
      </c>
      <c r="H67" t="s">
        <v>742</v>
      </c>
    </row>
    <row r="68" spans="3:11" x14ac:dyDescent="0.2">
      <c r="C68" s="1">
        <v>1</v>
      </c>
      <c r="D68" s="1" t="s">
        <v>611</v>
      </c>
      <c r="E68" s="1">
        <v>1</v>
      </c>
      <c r="F68" s="1">
        <v>1</v>
      </c>
      <c r="G68" s="1" t="s">
        <v>611</v>
      </c>
      <c r="H68" s="1">
        <v>1</v>
      </c>
      <c r="J68" s="1" t="s">
        <v>743</v>
      </c>
      <c r="K68">
        <v>1</v>
      </c>
    </row>
    <row r="69" spans="3:11" x14ac:dyDescent="0.2">
      <c r="C69" s="120">
        <v>1</v>
      </c>
      <c r="D69" s="120" t="s">
        <v>611</v>
      </c>
      <c r="E69" s="120">
        <v>1</v>
      </c>
      <c r="F69" s="120">
        <v>2</v>
      </c>
      <c r="G69" s="120" t="s">
        <v>645</v>
      </c>
      <c r="H69" s="120">
        <v>1</v>
      </c>
      <c r="J69" s="120" t="s">
        <v>744</v>
      </c>
      <c r="K69">
        <v>1</v>
      </c>
    </row>
    <row r="70" spans="3:11" x14ac:dyDescent="0.2">
      <c r="C70" s="120">
        <v>1</v>
      </c>
      <c r="D70" s="120" t="s">
        <v>611</v>
      </c>
      <c r="E70" s="120">
        <v>1</v>
      </c>
      <c r="F70" s="120">
        <v>3</v>
      </c>
      <c r="G70" s="120" t="s">
        <v>646</v>
      </c>
      <c r="H70" s="120">
        <v>1</v>
      </c>
      <c r="J70" s="120" t="s">
        <v>745</v>
      </c>
      <c r="K70">
        <v>1</v>
      </c>
    </row>
    <row r="71" spans="3:11" x14ac:dyDescent="0.2">
      <c r="C71" s="1">
        <v>2</v>
      </c>
      <c r="D71" s="1" t="s">
        <v>645</v>
      </c>
      <c r="E71" s="1">
        <v>1</v>
      </c>
      <c r="F71" s="1">
        <v>1</v>
      </c>
      <c r="G71" s="1" t="s">
        <v>611</v>
      </c>
      <c r="H71" s="1">
        <v>1</v>
      </c>
      <c r="J71" s="1" t="s">
        <v>746</v>
      </c>
      <c r="K71">
        <v>1</v>
      </c>
    </row>
    <row r="72" spans="3:11" x14ac:dyDescent="0.2">
      <c r="C72" s="1">
        <v>2</v>
      </c>
      <c r="D72" s="1" t="s">
        <v>645</v>
      </c>
      <c r="E72" s="1">
        <v>1</v>
      </c>
      <c r="F72" s="1">
        <v>2</v>
      </c>
      <c r="G72" s="1" t="s">
        <v>645</v>
      </c>
      <c r="H72" s="1">
        <v>1</v>
      </c>
      <c r="J72" s="1" t="s">
        <v>747</v>
      </c>
      <c r="K72">
        <v>1</v>
      </c>
    </row>
    <row r="73" spans="3:11" x14ac:dyDescent="0.2">
      <c r="C73" s="120">
        <v>2</v>
      </c>
      <c r="D73" s="120" t="s">
        <v>645</v>
      </c>
      <c r="E73" s="120">
        <v>1</v>
      </c>
      <c r="F73" s="120">
        <v>3</v>
      </c>
      <c r="G73" s="120" t="s">
        <v>646</v>
      </c>
      <c r="H73" s="120">
        <v>1</v>
      </c>
      <c r="J73" s="120" t="s">
        <v>748</v>
      </c>
      <c r="K73">
        <v>1</v>
      </c>
    </row>
    <row r="74" spans="3:11" x14ac:dyDescent="0.2">
      <c r="C74" s="1">
        <v>3</v>
      </c>
      <c r="D74" s="1" t="s">
        <v>646</v>
      </c>
      <c r="E74" s="1">
        <v>1</v>
      </c>
      <c r="F74" s="1">
        <v>1</v>
      </c>
      <c r="G74" s="1" t="s">
        <v>611</v>
      </c>
      <c r="H74" s="1">
        <v>1</v>
      </c>
      <c r="J74" s="1" t="s">
        <v>749</v>
      </c>
      <c r="K74">
        <v>1</v>
      </c>
    </row>
    <row r="75" spans="3:11" x14ac:dyDescent="0.2">
      <c r="C75" s="1">
        <v>3</v>
      </c>
      <c r="D75" s="1" t="s">
        <v>646</v>
      </c>
      <c r="E75" s="1">
        <v>1</v>
      </c>
      <c r="F75" s="1">
        <v>2</v>
      </c>
      <c r="G75" s="1" t="s">
        <v>645</v>
      </c>
      <c r="H75" s="1">
        <v>1</v>
      </c>
      <c r="J75" s="1" t="s">
        <v>750</v>
      </c>
      <c r="K75">
        <v>1</v>
      </c>
    </row>
    <row r="76" spans="3:11" x14ac:dyDescent="0.2">
      <c r="C76" s="1">
        <v>3</v>
      </c>
      <c r="D76" s="1" t="s">
        <v>646</v>
      </c>
      <c r="E76" s="1">
        <v>1</v>
      </c>
      <c r="F76" s="1">
        <v>3</v>
      </c>
      <c r="G76" s="1" t="s">
        <v>646</v>
      </c>
      <c r="H76" s="1">
        <v>1</v>
      </c>
      <c r="J76" s="1" t="s">
        <v>751</v>
      </c>
      <c r="K76">
        <v>1</v>
      </c>
    </row>
    <row r="77" spans="3:11" x14ac:dyDescent="0.2">
      <c r="C77" s="1">
        <v>4</v>
      </c>
      <c r="D77" s="1" t="s">
        <v>647</v>
      </c>
      <c r="E77" s="1">
        <v>2</v>
      </c>
      <c r="F77" s="1">
        <v>4</v>
      </c>
      <c r="G77" s="1" t="s">
        <v>647</v>
      </c>
      <c r="H77" s="1">
        <v>2</v>
      </c>
      <c r="J77" s="1" t="s">
        <v>752</v>
      </c>
      <c r="K77">
        <v>2</v>
      </c>
    </row>
    <row r="78" spans="3:11" x14ac:dyDescent="0.2">
      <c r="C78" s="120">
        <v>4</v>
      </c>
      <c r="D78" s="120" t="s">
        <v>647</v>
      </c>
      <c r="E78" s="120">
        <v>2</v>
      </c>
      <c r="F78" s="120">
        <v>5</v>
      </c>
      <c r="G78" s="120" t="s">
        <v>648</v>
      </c>
      <c r="H78" s="120">
        <v>2</v>
      </c>
      <c r="J78" s="120" t="s">
        <v>753</v>
      </c>
      <c r="K78">
        <v>2</v>
      </c>
    </row>
    <row r="79" spans="3:11" x14ac:dyDescent="0.2">
      <c r="C79" s="1">
        <v>5</v>
      </c>
      <c r="D79" s="1" t="s">
        <v>648</v>
      </c>
      <c r="E79" s="1">
        <v>2</v>
      </c>
      <c r="F79" s="1">
        <v>4</v>
      </c>
      <c r="G79" s="1" t="s">
        <v>647</v>
      </c>
      <c r="H79" s="1">
        <v>2</v>
      </c>
      <c r="J79" s="1" t="s">
        <v>754</v>
      </c>
      <c r="K79">
        <v>2</v>
      </c>
    </row>
    <row r="80" spans="3:11" x14ac:dyDescent="0.2">
      <c r="C80" s="1">
        <v>5</v>
      </c>
      <c r="D80" s="1" t="s">
        <v>648</v>
      </c>
      <c r="E80" s="1">
        <v>2</v>
      </c>
      <c r="F80" s="1">
        <v>5</v>
      </c>
      <c r="G80" s="1" t="s">
        <v>648</v>
      </c>
      <c r="H80" s="1">
        <v>2</v>
      </c>
      <c r="J80" s="1" t="s">
        <v>755</v>
      </c>
      <c r="K80">
        <v>2</v>
      </c>
    </row>
    <row r="86" spans="3:11" x14ac:dyDescent="0.2">
      <c r="C86" t="s">
        <v>675</v>
      </c>
      <c r="G86" t="s">
        <v>675</v>
      </c>
    </row>
    <row r="87" spans="3:11" x14ac:dyDescent="0.2">
      <c r="C87" t="s">
        <v>740</v>
      </c>
      <c r="D87" t="s">
        <v>741</v>
      </c>
      <c r="E87" t="s">
        <v>742</v>
      </c>
      <c r="G87" t="s">
        <v>740</v>
      </c>
      <c r="H87" t="s">
        <v>741</v>
      </c>
      <c r="I87" t="s">
        <v>742</v>
      </c>
    </row>
    <row r="88" spans="3:11" x14ac:dyDescent="0.2">
      <c r="C88">
        <v>1</v>
      </c>
      <c r="D88" t="s">
        <v>611</v>
      </c>
      <c r="E88">
        <v>1</v>
      </c>
      <c r="G88">
        <v>1</v>
      </c>
      <c r="H88" t="s">
        <v>611</v>
      </c>
      <c r="I88">
        <v>1</v>
      </c>
      <c r="K88" t="s">
        <v>756</v>
      </c>
    </row>
    <row r="89" spans="3:11" x14ac:dyDescent="0.2">
      <c r="C89">
        <v>2</v>
      </c>
      <c r="D89" t="s">
        <v>645</v>
      </c>
      <c r="E89">
        <v>1</v>
      </c>
      <c r="G89">
        <v>2</v>
      </c>
      <c r="H89" t="s">
        <v>645</v>
      </c>
      <c r="I89">
        <v>1</v>
      </c>
    </row>
    <row r="90" spans="3:11" x14ac:dyDescent="0.2">
      <c r="C90">
        <v>3</v>
      </c>
      <c r="D90" t="s">
        <v>646</v>
      </c>
      <c r="E90">
        <v>1</v>
      </c>
      <c r="G90">
        <v>3</v>
      </c>
      <c r="H90" t="s">
        <v>646</v>
      </c>
      <c r="I90">
        <v>1</v>
      </c>
    </row>
    <row r="91" spans="3:11" x14ac:dyDescent="0.2">
      <c r="C91">
        <v>4</v>
      </c>
      <c r="D91" t="s">
        <v>647</v>
      </c>
      <c r="E91">
        <v>2</v>
      </c>
      <c r="G91">
        <v>4</v>
      </c>
      <c r="H91" t="s">
        <v>647</v>
      </c>
      <c r="I91">
        <v>2</v>
      </c>
    </row>
    <row r="92" spans="3:11" x14ac:dyDescent="0.2">
      <c r="C92">
        <v>5</v>
      </c>
      <c r="D92" t="s">
        <v>648</v>
      </c>
      <c r="E92">
        <v>2</v>
      </c>
      <c r="G92">
        <v>5</v>
      </c>
      <c r="H92" t="s">
        <v>648</v>
      </c>
      <c r="I92">
        <v>2</v>
      </c>
    </row>
    <row r="94" spans="3:11" x14ac:dyDescent="0.2">
      <c r="C94" t="s">
        <v>675</v>
      </c>
      <c r="F94" t="s">
        <v>675</v>
      </c>
    </row>
    <row r="95" spans="3:11" x14ac:dyDescent="0.2">
      <c r="C95" t="s">
        <v>740</v>
      </c>
      <c r="D95" t="s">
        <v>741</v>
      </c>
      <c r="E95" t="s">
        <v>742</v>
      </c>
      <c r="F95" t="s">
        <v>740</v>
      </c>
      <c r="G95" t="s">
        <v>741</v>
      </c>
      <c r="H95" t="s">
        <v>742</v>
      </c>
    </row>
    <row r="96" spans="3:11" x14ac:dyDescent="0.2">
      <c r="C96">
        <v>1</v>
      </c>
      <c r="D96" t="s">
        <v>611</v>
      </c>
      <c r="E96">
        <v>1</v>
      </c>
      <c r="F96">
        <v>2</v>
      </c>
      <c r="G96" t="s">
        <v>645</v>
      </c>
      <c r="H96">
        <v>1</v>
      </c>
    </row>
    <row r="97" spans="3:9" x14ac:dyDescent="0.2">
      <c r="C97">
        <v>1</v>
      </c>
      <c r="D97" t="s">
        <v>611</v>
      </c>
      <c r="E97">
        <v>1</v>
      </c>
      <c r="F97">
        <v>3</v>
      </c>
      <c r="G97" t="s">
        <v>646</v>
      </c>
      <c r="H97">
        <v>1</v>
      </c>
    </row>
    <row r="98" spans="3:9" x14ac:dyDescent="0.2">
      <c r="C98">
        <v>2</v>
      </c>
      <c r="D98" t="s">
        <v>645</v>
      </c>
      <c r="E98">
        <v>1</v>
      </c>
      <c r="F98">
        <v>3</v>
      </c>
      <c r="G98" t="s">
        <v>646</v>
      </c>
      <c r="H98">
        <v>1</v>
      </c>
    </row>
    <row r="99" spans="3:9" x14ac:dyDescent="0.2">
      <c r="C99">
        <v>4</v>
      </c>
      <c r="D99" t="s">
        <v>647</v>
      </c>
      <c r="E99">
        <v>2</v>
      </c>
      <c r="F99">
        <v>5</v>
      </c>
      <c r="G99" t="s">
        <v>648</v>
      </c>
      <c r="H99">
        <v>2</v>
      </c>
    </row>
    <row r="111" spans="3:9" x14ac:dyDescent="0.2">
      <c r="D111" t="s">
        <v>757</v>
      </c>
      <c r="E111" t="s">
        <v>758</v>
      </c>
      <c r="H111" t="s">
        <v>759</v>
      </c>
      <c r="I111" t="s">
        <v>760</v>
      </c>
    </row>
    <row r="112" spans="3:9" x14ac:dyDescent="0.2">
      <c r="D112" t="s">
        <v>740</v>
      </c>
      <c r="E112" t="s">
        <v>761</v>
      </c>
      <c r="H112" t="s">
        <v>740</v>
      </c>
      <c r="I112" t="s">
        <v>761</v>
      </c>
    </row>
    <row r="113" spans="3:9" x14ac:dyDescent="0.2">
      <c r="D113" t="s">
        <v>761</v>
      </c>
      <c r="E113" t="s">
        <v>762</v>
      </c>
      <c r="H113" t="s">
        <v>761</v>
      </c>
      <c r="I113" t="s">
        <v>762</v>
      </c>
    </row>
    <row r="116" spans="3:9" x14ac:dyDescent="0.2">
      <c r="C116" t="s">
        <v>757</v>
      </c>
      <c r="F116" t="s">
        <v>740</v>
      </c>
      <c r="G116" t="s">
        <v>761</v>
      </c>
    </row>
    <row r="117" spans="3:9" x14ac:dyDescent="0.2">
      <c r="C117" t="s">
        <v>763</v>
      </c>
      <c r="F117" t="s">
        <v>740</v>
      </c>
      <c r="G117" t="s">
        <v>740</v>
      </c>
    </row>
    <row r="118" spans="3:9" x14ac:dyDescent="0.2">
      <c r="C118" t="s">
        <v>759</v>
      </c>
      <c r="F118" t="s">
        <v>740</v>
      </c>
      <c r="G118" t="s">
        <v>761</v>
      </c>
    </row>
    <row r="119" spans="3:9" x14ac:dyDescent="0.2">
      <c r="C119" t="s">
        <v>764</v>
      </c>
    </row>
    <row r="121" spans="3:9" x14ac:dyDescent="0.2">
      <c r="D121" t="s">
        <v>765</v>
      </c>
    </row>
    <row r="122" spans="3:9" x14ac:dyDescent="0.2">
      <c r="D122" t="s">
        <v>740</v>
      </c>
    </row>
    <row r="123" spans="3:9" x14ac:dyDescent="0.2">
      <c r="D123" t="s">
        <v>766</v>
      </c>
    </row>
    <row r="126" spans="3:9" x14ac:dyDescent="0.2">
      <c r="C126" t="s">
        <v>675</v>
      </c>
      <c r="F126" t="s">
        <v>767</v>
      </c>
    </row>
    <row r="127" spans="3:9" x14ac:dyDescent="0.2">
      <c r="C127" t="s">
        <v>740</v>
      </c>
      <c r="D127" t="s">
        <v>761</v>
      </c>
      <c r="F127" t="s">
        <v>761</v>
      </c>
      <c r="G127" t="s">
        <v>762</v>
      </c>
    </row>
    <row r="128" spans="3:9" x14ac:dyDescent="0.2">
      <c r="C128">
        <v>1</v>
      </c>
      <c r="D128">
        <v>1</v>
      </c>
      <c r="F128">
        <v>1</v>
      </c>
      <c r="G128">
        <v>1</v>
      </c>
    </row>
    <row r="129" spans="3:11" x14ac:dyDescent="0.2">
      <c r="C129">
        <v>2</v>
      </c>
      <c r="D129">
        <v>1</v>
      </c>
      <c r="F129">
        <v>2</v>
      </c>
      <c r="G129">
        <v>1</v>
      </c>
    </row>
    <row r="130" spans="3:11" x14ac:dyDescent="0.2">
      <c r="C130">
        <v>3</v>
      </c>
      <c r="D130">
        <v>2</v>
      </c>
      <c r="F130">
        <v>3</v>
      </c>
      <c r="G130">
        <v>2</v>
      </c>
    </row>
    <row r="131" spans="3:11" x14ac:dyDescent="0.2">
      <c r="C131">
        <v>4</v>
      </c>
      <c r="D131">
        <v>2</v>
      </c>
    </row>
    <row r="132" spans="3:11" x14ac:dyDescent="0.2">
      <c r="C132">
        <v>5</v>
      </c>
      <c r="D132">
        <v>3</v>
      </c>
    </row>
    <row r="134" spans="3:11" x14ac:dyDescent="0.2">
      <c r="C134" t="s">
        <v>768</v>
      </c>
      <c r="E134" t="s">
        <v>769</v>
      </c>
      <c r="H134" t="s">
        <v>770</v>
      </c>
      <c r="J134" t="s">
        <v>771</v>
      </c>
    </row>
    <row r="135" spans="3:11" x14ac:dyDescent="0.2">
      <c r="C135" t="s">
        <v>740</v>
      </c>
      <c r="D135" t="s">
        <v>761</v>
      </c>
      <c r="E135" t="s">
        <v>761</v>
      </c>
      <c r="F135" t="s">
        <v>762</v>
      </c>
      <c r="H135" t="s">
        <v>740</v>
      </c>
      <c r="I135" t="s">
        <v>761</v>
      </c>
      <c r="J135" t="s">
        <v>761</v>
      </c>
      <c r="K135" t="s">
        <v>762</v>
      </c>
    </row>
    <row r="136" spans="3:11" x14ac:dyDescent="0.2">
      <c r="C136">
        <v>1</v>
      </c>
      <c r="D136">
        <v>1</v>
      </c>
      <c r="E136">
        <v>1</v>
      </c>
      <c r="F136">
        <v>1</v>
      </c>
      <c r="H136">
        <v>1</v>
      </c>
      <c r="I136">
        <v>1</v>
      </c>
      <c r="J136">
        <v>1</v>
      </c>
      <c r="K136">
        <v>1</v>
      </c>
    </row>
    <row r="137" spans="3:11" x14ac:dyDescent="0.2">
      <c r="C137">
        <v>2</v>
      </c>
      <c r="D137">
        <v>1</v>
      </c>
      <c r="E137">
        <v>1</v>
      </c>
      <c r="F137">
        <v>1</v>
      </c>
      <c r="H137">
        <v>2</v>
      </c>
      <c r="I137">
        <v>1</v>
      </c>
      <c r="J137">
        <v>1</v>
      </c>
      <c r="K137">
        <v>1</v>
      </c>
    </row>
    <row r="138" spans="3:11" x14ac:dyDescent="0.2">
      <c r="C138">
        <v>3</v>
      </c>
      <c r="D138">
        <v>2</v>
      </c>
      <c r="E138">
        <v>2</v>
      </c>
      <c r="F138">
        <v>1</v>
      </c>
      <c r="H138">
        <v>3</v>
      </c>
      <c r="I138">
        <v>2</v>
      </c>
      <c r="J138">
        <v>2</v>
      </c>
      <c r="K138">
        <v>1</v>
      </c>
    </row>
    <row r="139" spans="3:11" x14ac:dyDescent="0.2">
      <c r="C139">
        <v>4</v>
      </c>
      <c r="D139">
        <v>2</v>
      </c>
      <c r="E139">
        <v>2</v>
      </c>
      <c r="F139">
        <v>1</v>
      </c>
      <c r="H139">
        <v>4</v>
      </c>
      <c r="I139">
        <v>2</v>
      </c>
      <c r="J139">
        <v>2</v>
      </c>
      <c r="K139">
        <v>1</v>
      </c>
    </row>
    <row r="140" spans="3:11" x14ac:dyDescent="0.2">
      <c r="C140">
        <v>5</v>
      </c>
      <c r="D140">
        <v>3</v>
      </c>
      <c r="E140">
        <v>3</v>
      </c>
      <c r="F140">
        <v>2</v>
      </c>
      <c r="H140">
        <v>5</v>
      </c>
      <c r="I140">
        <v>3</v>
      </c>
      <c r="J140">
        <v>3</v>
      </c>
      <c r="K140">
        <v>2</v>
      </c>
    </row>
    <row r="143" spans="3:11" x14ac:dyDescent="0.2">
      <c r="C143" t="s">
        <v>768</v>
      </c>
      <c r="E143" t="s">
        <v>769</v>
      </c>
      <c r="G143" t="s">
        <v>770</v>
      </c>
      <c r="I143" t="s">
        <v>771</v>
      </c>
    </row>
    <row r="144" spans="3:11" x14ac:dyDescent="0.2">
      <c r="C144" t="s">
        <v>740</v>
      </c>
      <c r="D144" t="s">
        <v>761</v>
      </c>
      <c r="E144" t="s">
        <v>761</v>
      </c>
      <c r="F144" t="s">
        <v>762</v>
      </c>
      <c r="G144" t="s">
        <v>740</v>
      </c>
      <c r="H144" t="s">
        <v>761</v>
      </c>
      <c r="I144" t="s">
        <v>761</v>
      </c>
      <c r="J144" t="s">
        <v>762</v>
      </c>
    </row>
    <row r="145" spans="3:10" x14ac:dyDescent="0.2">
      <c r="C145">
        <v>1</v>
      </c>
      <c r="D145">
        <v>1</v>
      </c>
      <c r="E145" s="1">
        <v>1</v>
      </c>
      <c r="F145">
        <v>1</v>
      </c>
      <c r="G145">
        <v>2</v>
      </c>
      <c r="H145">
        <v>1</v>
      </c>
      <c r="I145" s="1">
        <v>1</v>
      </c>
      <c r="J145">
        <v>1</v>
      </c>
    </row>
    <row r="146" spans="3:10" x14ac:dyDescent="0.2">
      <c r="C146">
        <v>3</v>
      </c>
      <c r="D146">
        <v>2</v>
      </c>
      <c r="E146" s="1">
        <v>2</v>
      </c>
      <c r="F146">
        <v>1</v>
      </c>
      <c r="G146">
        <v>4</v>
      </c>
      <c r="H146">
        <v>2</v>
      </c>
      <c r="I146" s="1">
        <v>2</v>
      </c>
      <c r="J146">
        <v>1</v>
      </c>
    </row>
    <row r="158" spans="3:10" x14ac:dyDescent="0.2">
      <c r="C158" t="s">
        <v>768</v>
      </c>
      <c r="G158" t="s">
        <v>770</v>
      </c>
    </row>
    <row r="159" spans="3:10" x14ac:dyDescent="0.2">
      <c r="C159" t="s">
        <v>740</v>
      </c>
      <c r="D159" t="s">
        <v>761</v>
      </c>
      <c r="G159" t="s">
        <v>740</v>
      </c>
      <c r="H159" t="s">
        <v>761</v>
      </c>
    </row>
    <row r="160" spans="3:10" x14ac:dyDescent="0.2">
      <c r="C160" s="1">
        <v>1</v>
      </c>
      <c r="D160" s="1">
        <v>1</v>
      </c>
      <c r="G160" s="31">
        <v>1</v>
      </c>
      <c r="H160" s="31">
        <v>1</v>
      </c>
    </row>
    <row r="161" spans="3:8" x14ac:dyDescent="0.2">
      <c r="C161" s="1">
        <v>2</v>
      </c>
      <c r="D161" s="1">
        <v>1</v>
      </c>
      <c r="G161" s="31">
        <v>2</v>
      </c>
      <c r="H161" s="31">
        <v>1</v>
      </c>
    </row>
    <row r="162" spans="3:8" x14ac:dyDescent="0.2">
      <c r="C162" s="1">
        <v>3</v>
      </c>
      <c r="D162" s="1">
        <v>2</v>
      </c>
      <c r="G162" s="31">
        <v>3</v>
      </c>
      <c r="H162" s="31">
        <v>2</v>
      </c>
    </row>
    <row r="163" spans="3:8" x14ac:dyDescent="0.2">
      <c r="C163" s="1">
        <v>4</v>
      </c>
      <c r="D163" s="1">
        <v>2</v>
      </c>
      <c r="G163" s="31">
        <v>5</v>
      </c>
      <c r="H163" s="31">
        <v>2</v>
      </c>
    </row>
    <row r="164" spans="3:8" x14ac:dyDescent="0.2">
      <c r="C164" s="1">
        <v>5</v>
      </c>
      <c r="D164" s="1">
        <v>3</v>
      </c>
      <c r="G164" s="31">
        <v>6</v>
      </c>
      <c r="H164" s="31">
        <v>3</v>
      </c>
    </row>
    <row r="166" spans="3:8" x14ac:dyDescent="0.2">
      <c r="C166" s="119" t="s">
        <v>726</v>
      </c>
      <c r="D166" s="119"/>
      <c r="G166" s="119" t="s">
        <v>588</v>
      </c>
      <c r="H166" s="119"/>
    </row>
    <row r="167" spans="3:8" x14ac:dyDescent="0.2">
      <c r="C167" s="1">
        <v>1</v>
      </c>
      <c r="D167" s="1">
        <v>1</v>
      </c>
      <c r="G167" s="1">
        <v>1</v>
      </c>
      <c r="H167" s="1">
        <v>1</v>
      </c>
    </row>
    <row r="168" spans="3:8" x14ac:dyDescent="0.2">
      <c r="C168" s="1">
        <v>2</v>
      </c>
      <c r="D168" s="1">
        <v>1</v>
      </c>
      <c r="G168" s="1">
        <v>2</v>
      </c>
      <c r="H168" s="1">
        <v>1</v>
      </c>
    </row>
    <row r="169" spans="3:8" x14ac:dyDescent="0.2">
      <c r="C169" s="1">
        <v>3</v>
      </c>
      <c r="D169" s="1">
        <v>2</v>
      </c>
      <c r="G169" s="1">
        <v>3</v>
      </c>
      <c r="H169" s="1">
        <v>2</v>
      </c>
    </row>
    <row r="170" spans="3:8" x14ac:dyDescent="0.2">
      <c r="C170" s="1">
        <v>4</v>
      </c>
      <c r="D170" s="1">
        <v>2</v>
      </c>
      <c r="G170" s="1">
        <v>4</v>
      </c>
      <c r="H170" s="1">
        <v>2</v>
      </c>
    </row>
    <row r="171" spans="3:8" x14ac:dyDescent="0.2">
      <c r="C171" s="1">
        <v>5</v>
      </c>
      <c r="D171" s="1">
        <v>3</v>
      </c>
      <c r="G171" s="1">
        <v>5</v>
      </c>
      <c r="H171" s="1">
        <v>3</v>
      </c>
    </row>
    <row r="172" spans="3:8" x14ac:dyDescent="0.2">
      <c r="C172" s="31">
        <v>1</v>
      </c>
      <c r="D172" s="31">
        <v>1</v>
      </c>
      <c r="G172" s="31">
        <v>5</v>
      </c>
      <c r="H172" s="31">
        <v>2</v>
      </c>
    </row>
    <row r="173" spans="3:8" x14ac:dyDescent="0.2">
      <c r="C173" s="31">
        <v>2</v>
      </c>
      <c r="D173" s="31">
        <v>1</v>
      </c>
      <c r="G173" s="31">
        <v>6</v>
      </c>
      <c r="H173" s="31">
        <v>3</v>
      </c>
    </row>
    <row r="174" spans="3:8" x14ac:dyDescent="0.2">
      <c r="C174" s="31">
        <v>3</v>
      </c>
      <c r="D174" s="31">
        <v>2</v>
      </c>
    </row>
    <row r="175" spans="3:8" x14ac:dyDescent="0.2">
      <c r="C175" s="31">
        <v>5</v>
      </c>
      <c r="D175" s="31">
        <v>2</v>
      </c>
    </row>
    <row r="176" spans="3:8" x14ac:dyDescent="0.2">
      <c r="C176" s="31">
        <v>6</v>
      </c>
      <c r="D176" s="31">
        <v>3</v>
      </c>
    </row>
    <row r="180" spans="3:8" x14ac:dyDescent="0.2">
      <c r="C180" t="s">
        <v>772</v>
      </c>
    </row>
    <row r="181" spans="3:8" x14ac:dyDescent="0.2">
      <c r="E181" t="s">
        <v>757</v>
      </c>
      <c r="H181" t="s">
        <v>759</v>
      </c>
    </row>
    <row r="182" spans="3:8" x14ac:dyDescent="0.2">
      <c r="E182" t="s">
        <v>289</v>
      </c>
      <c r="H182" t="s">
        <v>292</v>
      </c>
    </row>
  </sheetData>
  <mergeCells count="3">
    <mergeCell ref="E50:E53"/>
    <mergeCell ref="C166:D166"/>
    <mergeCell ref="G166:H1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 to SQL</vt:lpstr>
      <vt:lpstr>Installation &amp; Onboarding</vt:lpstr>
      <vt:lpstr>DDL &amp; DML</vt:lpstr>
      <vt:lpstr>Data Type &amp; Constraints</vt:lpstr>
      <vt:lpstr>Filtering &amp; Sorting</vt:lpstr>
      <vt:lpstr>Scalar Functions</vt:lpstr>
      <vt:lpstr>Conditional Logic &amp; Derived Col</vt:lpstr>
      <vt:lpstr>Aggregate Functions &amp; Group By</vt:lpstr>
      <vt:lpstr>Join Part 1 &amp; 2</vt:lpstr>
      <vt:lpstr>Self 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2026-08-01T15:49:47Z</dcterms:created>
  <dcterms:modified xsi:type="dcterms:W3CDTF">2026-08-23T16:37:17Z</dcterms:modified>
</cp:coreProperties>
</file>